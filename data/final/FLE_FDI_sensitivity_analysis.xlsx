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5e8adefb4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1878e78df44f61"/>
    <x:sheet xmlns:r="http://schemas.openxmlformats.org/officeDocument/2006/relationships" name="Sensitivity" sheetId="2" r:id="Re320514a6e7f4d40"/>
    <x:sheet xmlns:r="http://schemas.openxmlformats.org/officeDocument/2006/relationships" name="Level Results" sheetId="3" r:id="R724b2f2df76347f4"/>
    <x:sheet xmlns:r="http://schemas.openxmlformats.org/officeDocument/2006/relationships" name="Run Scores" sheetId="4" r:id="Rd285a8c10d9b49d1"/>
    <x:sheet xmlns:r="http://schemas.openxmlformats.org/officeDocument/2006/relationships" name="Weight Grid" sheetId="5" r:id="Ra50cc95ffdfb4157"/>
    <x:sheet xmlns:r="http://schemas.openxmlformats.org/officeDocument/2006/relationships" name="Method" sheetId="6" r:id="R7e20e122cb5e427c"/>
    <x:sheet xmlns:r="http://schemas.openxmlformats.org/officeDocument/2006/relationships" name="Correlations" sheetId="7" r:id="R2f84dfdc0d744da7"/>
    <x:sheet xmlns:r="http://schemas.openxmlformats.org/officeDocument/2006/relationships" name="FDI Variation" sheetId="8" r:id="R54b2e85caf5840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%"/>
    <x:numFmt numFmtId="202" formatCode="0.0000"/>
    <x:numFmt numFmtId="203" formatCode="#,##0"/>
    <x:numFmt numFmtId="204" formatCode="0"/>
    <x:numFmt numFmtId="205" formatCode="0.000"/>
    <x:numFmt numFmtId="206" formatCode="0%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7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  <x:border>
      <x:left style="thin">
        <x:color rgb="FF9EADBA"/>
      </x:left>
      <x:right/>
      <x:top style="thin">
        <x:color rgb="FF9EADBA"/>
      </x:top>
      <x:bottom style="thin">
        <x:color rgb="FF9EADBA"/>
      </x:bottom>
      <x:diagonal/>
    </x:border>
    <x:border>
      <x:left/>
      <x:right/>
      <x:top style="thin">
        <x:color rgb="FF9EADBA"/>
      </x:top>
      <x:bottom style="thin">
        <x:color rgb="FF9EADBA"/>
      </x:bottom>
      <x:diagonal/>
    </x:border>
    <x:border>
      <x:left/>
      <x:right style="thin">
        <x:color rgb="FF9EADBA"/>
      </x:right>
      <x:top style="thin">
        <x:color rgb="FF9EADBA"/>
      </x:top>
      <x:bottom style="thin">
        <x:color rgb="FF9EADBA"/>
      </x:bottom>
      <x:diagonal/>
    </x:border>
    <x:border>
      <x:left style="thin">
        <x:color rgb="FFC9B458"/>
      </x:left>
      <x:right/>
      <x:top style="thin">
        <x:color rgb="FFC9B458"/>
      </x:top>
      <x:bottom/>
      <x:diagonal/>
    </x:border>
    <x:border>
      <x:left/>
      <x:right/>
      <x:top style="thin">
        <x:color rgb="FFC9B458"/>
      </x:top>
      <x:bottom/>
      <x:diagonal/>
    </x:border>
    <x:border>
      <x:left/>
      <x:right style="thin">
        <x:color rgb="FFC9B458"/>
      </x:right>
      <x:top style="thin">
        <x:color rgb="FFC9B458"/>
      </x:top>
      <x:bottom/>
      <x:diagonal/>
    </x:border>
    <x:border>
      <x:left style="thin">
        <x:color rgb="FFC9B458"/>
      </x:left>
      <x:right/>
      <x:top/>
      <x:bottom/>
      <x:diagonal/>
    </x:border>
    <x:border>
      <x:left/>
      <x:right style="thin">
        <x:color rgb="FFC9B458"/>
      </x:right>
      <x:top/>
      <x:bottom/>
      <x:diagonal/>
    </x:border>
    <x:border>
      <x:left style="thin">
        <x:color rgb="FFC9B458"/>
      </x:left>
      <x:right/>
      <x:top/>
      <x:bottom style="thin">
        <x:color rgb="FFC9B458"/>
      </x:bottom>
      <x:diagonal/>
    </x:border>
    <x:border>
      <x:left/>
      <x:right/>
      <x:top/>
      <x:bottom style="thin">
        <x:color rgb="FFC9B458"/>
      </x:bottom>
      <x:diagonal/>
    </x:border>
    <x:border>
      <x:left/>
      <x:right style="thin">
        <x:color rgb="FFC9B458"/>
      </x:right>
      <x:top/>
      <x:bottom style="thin">
        <x:color rgb="FFC9B45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B7C9D6"/>
      </x:left>
      <x:right style="thin">
        <x:color rgb="FFFFFFFF"/>
      </x:right>
      <x:top style="thin">
        <x:color rgb="FFB7C9D6"/>
      </x:top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B7C9D6"/>
      </x:top>
      <x:bottom/>
      <x:diagonal/>
    </x:border>
    <x:border>
      <x:left style="thin">
        <x:color rgb="FFFFFFFF"/>
      </x:left>
      <x:right style="thin">
        <x:color rgb="FFB7C9D6"/>
      </x:right>
      <x:top style="thin">
        <x:color rgb="FFB7C9D6"/>
      </x:top>
      <x:bottom/>
      <x:diagonal/>
    </x:border>
    <x:border>
      <x:left/>
      <x:right/>
      <x:top/>
      <x:bottom style="thin">
        <x:color rgb="FFB7C9D6"/>
      </x:bottom>
      <x:diagonal/>
    </x:border>
    <x:border>
      <x:left/>
      <x:right/>
      <x:top/>
      <x:bottom style="medium">
        <x:color rgb="FF1F4E78"/>
      </x:bottom>
      <x:diagonal/>
    </x:border>
    <x:border>
      <x:left/>
      <x:right/>
      <x:top style="thin">
        <x:color rgb="FFB7C9D6"/>
      </x:top>
      <x:bottom/>
      <x:diagonal/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13" xfId="0" applyNumberFormat="1" applyFont="1" applyFill="1" applyBorder="1" applyAlignment="1">
      <x:alignment wrapText="1"/>
    </x:xf>
    <x:xf numFmtId="0" fontId="1" fillId="3" borderId="14" xfId="0" applyNumberFormat="1" applyFont="1" applyFill="1" applyBorder="1" applyAlignment="1">
      <x:alignment wrapText="1"/>
    </x:xf>
    <x:xf numFmtId="0" fontId="1" fillId="3" borderId="15" xfId="0" applyNumberFormat="1" applyFont="1" applyFill="1" applyBorder="1" applyAlignment="1">
      <x:alignment wrapText="1"/>
    </x:xf>
    <x:xf numFmtId="0" fontId="1" fillId="3" borderId="16" xfId="0" applyNumberFormat="1" applyFont="1" applyFill="1" applyBorder="1" applyAlignment="1">
      <x:alignment wrapText="1"/>
    </x:xf>
    <x:xf numFmtId="0" fontId="1" fillId="3" borderId="1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4" borderId="2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0" fontId="1" fillId="5" borderId="0" xfId="0" applyNumberFormat="1" applyFont="1" applyFill="1" applyBorder="1"/>
    <x:xf numFmtId="201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6" fillId="4" borderId="21" xfId="0" applyNumberFormat="1" applyFont="1" applyFill="1" applyBorder="1" applyAlignment="1">
      <x:alignment horizontal="center" vertical="center" wrapText="1"/>
    </x:xf>
    <x:xf numFmtId="0" fontId="6" fillId="4" borderId="22" xfId="0" applyNumberFormat="1" applyFont="1" applyFill="1" applyBorder="1" applyAlignment="1">
      <x:alignment horizontal="center" vertical="center" wrapText="1"/>
    </x:xf>
    <x:xf numFmtId="0" fontId="6" fillId="4" borderId="23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/>
    <x:xf numFmtId="201" fontId="1" fillId="5" borderId="4" xfId="0" applyNumberFormat="1" applyFont="1" applyFill="1" applyBorder="1"/>
    <x:xf numFmtId="0" fontId="1" fillId="0" borderId="3" xfId="0" applyNumberFormat="1" applyFont="1" applyFill="1" applyBorder="1"/>
    <x:xf numFmtId="201" fontId="1" fillId="0" borderId="4" xfId="0" applyNumberFormat="1" applyFont="1" applyFill="1" applyBorder="1"/>
    <x:xf numFmtId="0" fontId="1" fillId="0" borderId="5" xfId="0" applyNumberFormat="1" applyFont="1" applyFill="1" applyBorder="1"/>
    <x:xf numFmtId="201" fontId="1" fillId="0" borderId="24" xfId="0" applyNumberFormat="1" applyFont="1" applyFill="1" applyBorder="1"/>
    <x:xf numFmtId="200" fontId="1" fillId="0" borderId="24" xfId="0" applyNumberFormat="1" applyFont="1" applyFill="1" applyBorder="1"/>
    <x:xf numFmtId="201" fontId="1" fillId="0" borderId="6" xfId="0" applyNumberFormat="1" applyFont="1" applyFill="1" applyBorder="1"/>
    <x:xf numFmtId="0" fontId="1" fillId="0" borderId="25" xfId="0" applyNumberFormat="1" applyFont="1" applyFill="1" applyBorder="1"/>
    <x:xf numFmtId="200" fontId="1" fillId="0" borderId="25" xfId="0" applyNumberFormat="1" applyFont="1" applyFill="1" applyBorder="1"/>
    <x:xf numFmtId="202" fontId="1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0" fontId="2" fillId="0" borderId="0" xfId="0" applyNumberFormat="1" applyFont="1" applyFill="1" applyBorder="1"/>
    <x:xf numFmtId="206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4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24" xfId="0" applyNumberFormat="1" applyFont="1" applyFill="1" applyBorder="1" applyAlignment="1">
      <x:alignment vertical="center"/>
    </x:xf>
    <x:xf numFmtId="200" fontId="1" fillId="0" borderId="24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 applyAlignment="1">
      <x:alignment vertical="center"/>
    </x:xf>
    <x:xf numFmtId="200" fontId="1" fillId="0" borderId="25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4" fontId="1" fillId="0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26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204" fontId="1" fillId="0" borderId="3" xfId="0" applyNumberFormat="1" applyFont="1" applyFill="1" applyBorder="1"/>
    <x:xf numFmtId="200" fontId="1" fillId="0" borderId="4" xfId="0" applyNumberFormat="1" applyFont="1" applyFill="1" applyBorder="1"/>
    <x:xf numFmtId="204" fontId="1" fillId="0" borderId="5" xfId="0" applyNumberFormat="1" applyFont="1" applyFill="1" applyBorder="1"/>
    <x:xf numFmtId="200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a56dbc1014e26" /><Relationship Type="http://schemas.openxmlformats.org/officeDocument/2006/relationships/theme" Target="/xl/theme/theme1.xml" Id="R35d486f1e75c403b" /><Relationship Type="http://schemas.openxmlformats.org/officeDocument/2006/relationships/sharedStrings" Target="/xl/sharedStrings.xml" Id="R63c0e1af10aa44d8" /><Relationship Type="http://schemas.openxmlformats.org/officeDocument/2006/relationships/worksheet" Target="/xl/worksheets/sheet1.xml" Id="Rad1878e78df44f61" /><Relationship Type="http://schemas.openxmlformats.org/officeDocument/2006/relationships/worksheet" Target="/xl/worksheets/sheet2.xml" Id="Re320514a6e7f4d40" /><Relationship Type="http://schemas.openxmlformats.org/officeDocument/2006/relationships/worksheet" Target="/xl/worksheets/sheet3.xml" Id="R724b2f2df76347f4" /><Relationship Type="http://schemas.openxmlformats.org/officeDocument/2006/relationships/worksheet" Target="/xl/worksheets/sheet4.xml" Id="Rd285a8c10d9b49d1" /><Relationship Type="http://schemas.openxmlformats.org/officeDocument/2006/relationships/worksheet" Target="/xl/worksheets/sheet5.xml" Id="Ra50cc95ffdfb4157" /><Relationship Type="http://schemas.openxmlformats.org/officeDocument/2006/relationships/worksheet" Target="/xl/worksheets/sheet6.xml" Id="R7e20e122cb5e427c" /><Relationship Type="http://schemas.openxmlformats.org/officeDocument/2006/relationships/worksheet" Target="/xl/worksheets/sheet7.xml" Id="R2f84dfdc0d744da7" /><Relationship Type="http://schemas.openxmlformats.org/officeDocument/2006/relationships/worksheet" Target="/xl/worksheets/sheet8.xml" Id="R54b2e85caf5840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2cd7457156440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af33274da994af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png" Id="R35ef29dfc8ab48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Adaptive minus fixed FDI by weighting scenario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Difference</c:v>
          </c:tx>
          <c:invertIfNegative val="0"/>
          <c:cat>
            <c:strRef>
              <c:f>'Sensitivity'!$A$6:$A$12</c:f>
              <c:strCache>
                <c:ptCount val="0"/>
              </c:strCache>
            </c:strRef>
          </c:cat>
          <c:val>
            <c:numRef>
              <c:f>'Sensitivity'!$I$6:$I$12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Equal-weight FDI by level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Fixed</c:v>
          </c:tx>
          <c:marker>
            <c:symbol val="none"/>
          </c:marker>
          <c:cat>
            <c:strRef>
              <c:f>'Level Results'!$A$32:$A$43</c:f>
              <c:strCache>
                <c:ptCount val="0"/>
              </c:strCache>
            </c:strRef>
          </c:cat>
          <c:val>
            <c:numRef>
              <c:f>'Level Results'!$B$32:$B$43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Adaptive</c:v>
          </c:tx>
          <c:marker>
            <c:symbol val="none"/>
          </c:marker>
          <c:cat>
            <c:strRef>
              <c:f>'Level Results'!$A$32:$A$43</c:f>
              <c:strCache>
                <c:ptCount val="0"/>
              </c:strCache>
            </c:strRef>
          </c:cat>
          <c:val>
            <c:numRef>
              <c:f>'Level Results'!$C$32:$C$43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2cd7457156440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f33274da994af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0668000" cy="6000750"/>
    <xdr:pic>
      <xdr:nvPicPr>
        <xdr:cNvPr id="1" name="12ed53a6-8d25-4f88-9ba8-300bfbad1b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ef29dfc8ab48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f21dd3a7f647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90d0a4a187345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2b213ccd908a47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3" hidden="0" customWidth="1"/>
    <x:col min="4" max="4" width="31" hidden="0" customWidth="1"/>
    <x:col min="5" max="5" width="24" hidden="0" customWidth="1"/>
  </x:cols>
  <x:sheetData>
    <x:row r="1">
      <x:c r="A1" s="27"/>
      <x:c r="B1" s="27"/>
      <x:c r="C1" s="27"/>
      <x:c r="D1" s="27"/>
      <x:c r="E1" s="27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Factory Development Index: weight sensitivity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" t="str">
        <x:v>Primary recommendation</x:v>
      </x:c>
      <x:c r="B4" s="6" t="str">
        <x:v>Use equal top-level weights: Production 33.3%, Automation 33.3%, Advancement 33.3%.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str">
        <x:v>Reason</x:v>
      </x:c>
      <x:c r="B5" s="8" t="str">
        <x:v>This was the pre-specified, interpretable choice. Selecting weights after seeing results would make the metric outcome-driven.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str">
        <x:v>Sensitivity result</x:v>
      </x:c>
      <x:c r="B6" s="8" t="str">
        <x:v>All 66 tested weight combinations produced a higher overall adaptive-arm mean.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str">
        <x:v>Causal caution</x:v>
      </x:c>
      <x:c r="B7" s="8" t="str">
        <x:v>The same-prompt Level 1 gap is almost identical to the later-level equal-weight gap; the baseline-adjusted difference is approximately zero.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" t="str">
        <x:v>Reporting recommendation</x:v>
      </x:c>
      <x:c r="B8" s="10" t="str">
        <x:v>Report the equal-weight FDI as descriptive, show component scores separately, and include the weight sensitivity table.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Key results</x:v>
      </x:c>
      <x:c r="B10" s="14"/>
      <x:c r="C10" s="14"/>
      <x:c r="D10" s="14"/>
      <x:c r="E10" s="14"/>
      <x:c r="F10" s="14"/>
      <x:c r="G10" s="14"/>
      <x:c r="H10" s="15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6" t="str">
        <x:v>Equal-weight fixed mean</x:v>
      </x:c>
      <x:c r="B11" s="17" t="n">
        <x:v>47.2959</x:v>
      </x:c>
      <x:c r="C11" s="1"/>
      <x:c r="D11" s="16" t="str">
        <x:v>Weight combinations tested</x:v>
      </x:c>
      <x:c r="E11" s="17" t="n">
        <x:v>66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6" t="str">
        <x:v>Equal-weight adaptive mean</x:v>
      </x:c>
      <x:c r="B12" s="17" t="n">
        <x:v>52.7041</x:v>
      </x:c>
      <x:c r="C12" s="1"/>
      <x:c r="D12" s="16" t="str">
        <x:v>Positive overall arm differences</x:v>
      </x:c>
      <x:c r="E12" s="17" t="n">
        <x:v>66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6" t="str">
        <x:v>Overall difference</x:v>
      </x:c>
      <x:c r="B13" s="17" t="n">
        <x:v>5.408297275988417</x:v>
      </x:c>
      <x:c r="C13" s="1"/>
      <x:c r="D13" s="16" t="str">
        <x:v>Overall difference range</x:v>
      </x:c>
      <x:c r="E13" s="17" t="str">
        <x:v>2.63 to 7.08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6" t="str">
        <x:v>Hedges' g</x:v>
      </x:c>
      <x:c r="B14" s="17" t="n">
        <x:v>0.822792896922163</x:v>
      </x:c>
      <x:c r="C14" s="1"/>
      <x:c r="D14" s="16" t="str">
        <x:v>Hedges' g range</x:v>
      </x:c>
      <x:c r="E14" s="17" t="str">
        <x:v>0.39 to 0.85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6" t="str">
        <x:v>Level 1 arm difference</x:v>
      </x:c>
      <x:c r="B15" s="17" t="n">
        <x:v>5.446421410885165</x:v>
      </x:c>
      <x:c r="C15" s="1"/>
      <x:c r="D15" s="16" t="str">
        <x:v>Baseline-adjusted range</x:v>
      </x:c>
      <x:c r="E15" s="17" t="str">
        <x:v>-1.60 to 0.97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6" t="str">
        <x:v>Baseline-adjusted difference</x:v>
      </x:c>
      <x:c r="B16" s="17" t="n">
        <x:v>-0.041589965341910506</x:v>
      </x:c>
      <x:c r="C16" s="1"/>
      <x:c r="D16" s="16" t="str">
        <x:v>Achievement validation</x:v>
      </x:c>
      <x:c r="E16" s="17" t="str">
        <x:v>36/36 fixed runs matched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6" t="str">
        <x:v>Production–automation correlation</x:v>
      </x:c>
      <x:c r="B17" s="17" t="n">
        <x:v>0.9504987809005252</x:v>
      </x:c>
      <x:c r="C17" s="1"/>
      <x:c r="D17" s="16" t="str">
        <x:v>Advancement component SD</x:v>
      </x:c>
      <x:c r="E17" s="17" t="n">
        <x:v>0.6753214755306193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 t="str">
        <x:v>Interpretation</x:v>
      </x:c>
      <x:c r="B19" s="14"/>
      <x:c r="C19" s="14"/>
      <x:c r="D19" s="14"/>
      <x:c r="E19" s="14"/>
      <x:c r="F19" s="14"/>
      <x:c r="G19" s="14"/>
      <x:c r="H19" s="15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9" t="str">
        <x:v>The metric is robust as a descriptive ranking: moderate weighting changes preserve very similar run rankings and the adaptive arm remains higher overall. However, the equal-weight Level 1 arm gap was 5.45 points even though the Level 1 prompts were identical. The average gap across Levels 2–12 was 5.40 points, leaving a baseline-adjusted difference of −0.04. Therefore, the composite supports a descriptive performance difference but does not independently establish that adaptive prompt changes caused it.</x:v>
      </x:c>
      <x:c r="B20" s="20"/>
      <x:c r="C20" s="20"/>
      <x:c r="D20" s="20"/>
      <x:c r="E20" s="20"/>
      <x:c r="F20" s="20"/>
      <x:c r="G20" s="20"/>
      <x:c r="H20" s="2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2"/>
      <x:c r="B21" s="18"/>
      <x:c r="C21" s="18"/>
      <x:c r="D21" s="18"/>
      <x:c r="E21" s="18"/>
      <x:c r="F21" s="18"/>
      <x:c r="G21" s="18"/>
      <x:c r="H21" s="23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2"/>
      <x:c r="B22" s="18"/>
      <x:c r="C22" s="18"/>
      <x:c r="D22" s="18"/>
      <x:c r="E22" s="18"/>
      <x:c r="F22" s="18"/>
      <x:c r="G22" s="18"/>
      <x:c r="H22" s="23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4"/>
      <x:c r="B23" s="25"/>
      <x:c r="C23" s="25"/>
      <x:c r="D23" s="25"/>
      <x:c r="E23" s="25"/>
      <x:c r="F23" s="25"/>
      <x:c r="G23" s="25"/>
      <x:c r="H23" s="26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10:H10"/>
    <x:mergeCell ref="A19:H19"/>
    <x:mergeCell ref="A20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9" hidden="0" customWidth="1"/>
    <x:col min="13" max="13" width="19" hidden="0" customWidth="1"/>
    <x:col min="14" max="14" width="19" hidden="0" customWidth="1"/>
    <x:col min="15" max="15" width="15" hidden="0" customWidth="1"/>
    <x:col min="16" max="16" width="15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5" customHeight="1">
      <x:c r="A2" s="61" t="str">
        <x:v>Weight scenarios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62" t="str">
        <x:v>Weights apply to three top-level components. Advancement is the average of technology and achievement z-scores.</x:v>
      </x:c>
      <x:c r="B3" s="27" t="str"/>
      <x:c r="C3" s="27" t="str"/>
      <x:c r="D3" s="27" t="str"/>
      <x:c r="E3" s="27" t="str"/>
      <x:c r="F3" s="27" t="str"/>
      <x:c r="G3" s="27" t="str"/>
      <x:c r="H3" s="27" t="str"/>
      <x:c r="I3" s="27" t="str"/>
      <x:c r="J3" s="27" t="str"/>
      <x:c r="K3" s="27" t="str"/>
      <x:c r="L3" s="27" t="str"/>
      <x:c r="M3" s="27" t="str"/>
      <x:c r="N3" s="27" t="str"/>
      <x:c r="O3" s="27" t="str"/>
      <x:c r="P3" s="27" t="str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41" t="str">
        <x:v>Scenario</x:v>
      </x:c>
      <x:c r="B5" s="42" t="str">
        <x:v>Production wt</x:v>
      </x:c>
      <x:c r="C5" s="42" t="str">
        <x:v>Automation wt</x:v>
      </x:c>
      <x:c r="D5" s="42" t="str">
        <x:v>Advancement wt</x:v>
      </x:c>
      <x:c r="E5" s="42" t="str">
        <x:v>Technology effective wt</x:v>
      </x:c>
      <x:c r="F5" s="42" t="str">
        <x:v>Achievement effective wt</x:v>
      </x:c>
      <x:c r="G5" s="42" t="str">
        <x:v>Fixed mean</x:v>
      </x:c>
      <x:c r="H5" s="42" t="str">
        <x:v>Adaptive mean</x:v>
      </x:c>
      <x:c r="I5" s="42" t="str">
        <x:v>Difference</x:v>
      </x:c>
      <x:c r="J5" s="42" t="str">
        <x:v>Adaptive % difference</x:v>
      </x:c>
      <x:c r="K5" s="42" t="str">
        <x:v>Hedges' g</x:v>
      </x:c>
      <x:c r="L5" s="42" t="str">
        <x:v>Level 1 difference</x:v>
      </x:c>
      <x:c r="M5" s="42" t="str">
        <x:v>Levels 2–12 difference</x:v>
      </x:c>
      <x:c r="N5" s="42" t="str">
        <x:v>Baseline-adjusted difference</x:v>
      </x:c>
      <x:c r="O5" s="42" t="str">
        <x:v>Rank correlation vs equal</x:v>
      </x:c>
      <x:c r="P5" s="43" t="str">
        <x:v>Top-quartile overlap</x:v>
      </x:c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63" t="str">
        <x:v>Equal weights</x:v>
      </x:c>
      <x:c r="B6" s="64" t="n">
        <x:v>0.3333333333333333</x:v>
      </x:c>
      <x:c r="C6" s="64" t="n">
        <x:v>0.3333333333333333</x:v>
      </x:c>
      <x:c r="D6" s="64" t="n">
        <x:v>0.3333333333333333</x:v>
      </x:c>
      <x:c r="E6" s="64" t="n">
        <x:v>0.16666666666666666</x:v>
      </x:c>
      <x:c r="F6" s="64" t="n">
        <x:v>0.16666666666666666</x:v>
      </x:c>
      <x:c r="G6" s="65" t="n">
        <x:v>47.295851362005784</x:v>
      </x:c>
      <x:c r="H6" s="65" t="n">
        <x:v>52.7041486379942</x:v>
      </x:c>
      <x:c r="I6" s="65" t="n">
        <x:v>5.408297275988417</x:v>
      </x:c>
      <x:c r="J6" s="64" t="n">
        <x:v>0.11435035252020163</x:v>
      </x:c>
      <x:c r="K6" s="65" t="n">
        <x:v>0.822792896922163</x:v>
      </x:c>
      <x:c r="L6" s="65" t="n">
        <x:v>5.446421410885165</x:v>
      </x:c>
      <x:c r="M6" s="65" t="n">
        <x:v>5.4048314455432545</x:v>
      </x:c>
      <x:c r="N6" s="65" t="n">
        <x:v>-0.041589965341910506</x:v>
      </x:c>
      <x:c r="O6" s="65" t="n">
        <x:v>1</x:v>
      </x:c>
      <x:c r="P6" s="66" t="n">
        <x:v>1</x:v>
      </x:c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67" t="str">
        <x:v>Production emphasis</x:v>
      </x:c>
      <x:c r="B7" s="68" t="n">
        <x:v>0.5</x:v>
      </x:c>
      <x:c r="C7" s="68" t="n">
        <x:v>0.25</x:v>
      </x:c>
      <x:c r="D7" s="68" t="n">
        <x:v>0.25</x:v>
      </x:c>
      <x:c r="E7" s="68" t="n">
        <x:v>0.125</x:v>
      </x:c>
      <x:c r="F7" s="68" t="n">
        <x:v>0.125</x:v>
      </x:c>
      <x:c r="G7" s="69" t="n">
        <x:v>47.15862738148514</x:v>
      </x:c>
      <x:c r="H7" s="69" t="n">
        <x:v>52.84137261851486</x:v>
      </x:c>
      <x:c r="I7" s="69" t="n">
        <x:v>5.682745237029721</x:v>
      </x:c>
      <x:c r="J7" s="68" t="n">
        <x:v>0.12050277017309474</x:v>
      </x:c>
      <x:c r="K7" s="69" t="n">
        <x:v>0.7889087483369468</x:v>
      </x:c>
      <x:c r="L7" s="69" t="n">
        <x:v>6.077212596208341</x:v>
      </x:c>
      <x:c r="M7" s="69" t="n">
        <x:v>5.646884568013481</x:v>
      </x:c>
      <x:c r="N7" s="69" t="n">
        <x:v>-0.43032802819486005</x:v>
      </x:c>
      <x:c r="O7" s="69" t="n">
        <x:v>0.9900958260981415</x:v>
      </x:c>
      <x:c r="P7" s="70" t="n">
        <x:v>1</x:v>
      </x:c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67" t="str">
        <x:v>Automation emphasis</x:v>
      </x:c>
      <x:c r="B8" s="68" t="n">
        <x:v>0.25</x:v>
      </x:c>
      <x:c r="C8" s="68" t="n">
        <x:v>0.5</x:v>
      </x:c>
      <x:c r="D8" s="68" t="n">
        <x:v>0.25</x:v>
      </x:c>
      <x:c r="E8" s="68" t="n">
        <x:v>0.125</x:v>
      </x:c>
      <x:c r="F8" s="68" t="n">
        <x:v>0.125</x:v>
      </x:c>
      <x:c r="G8" s="69" t="n">
        <x:v>47.08636219058514</x:v>
      </x:c>
      <x:c r="H8" s="69" t="n">
        <x:v>52.91363780941485</x:v>
      </x:c>
      <x:c r="I8" s="69" t="n">
        <x:v>5.8272756188297095</x:v>
      </x:c>
      <x:c r="J8" s="68" t="n">
        <x:v>0.12375718462266061</x:v>
      </x:c>
      <x:c r="K8" s="69" t="n">
        <x:v>0.8092280349993404</x:v>
      </x:c>
      <x:c r="L8" s="69" t="n">
        <x:v>5.741343228190729</x:v>
      </x:c>
      <x:c r="M8" s="69" t="n">
        <x:v>5.83508765434233</x:v>
      </x:c>
      <x:c r="N8" s="69" t="n">
        <x:v>0.09374442615160117</x:v>
      </x:c>
      <x:c r="O8" s="69" t="n">
        <x:v>0.9903209209595474</x:v>
      </x:c>
      <x:c r="P8" s="70" t="n">
        <x:v>0.9444444444444444</x:v>
      </x:c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67" t="str">
        <x:v>Advancement emphasis</x:v>
      </x:c>
      <x:c r="B9" s="68" t="n">
        <x:v>0.25</x:v>
      </x:c>
      <x:c r="C9" s="68" t="n">
        <x:v>0.25</x:v>
      </x:c>
      <x:c r="D9" s="68" t="n">
        <x:v>0.5</x:v>
      </x:c>
      <x:c r="E9" s="68" t="n">
        <x:v>0.25</x:v>
      </x:c>
      <x:c r="F9" s="68" t="n">
        <x:v>0.25</x:v>
      </x:c>
      <x:c r="G9" s="69" t="n">
        <x:v>47.642564513947086</x:v>
      </x:c>
      <x:c r="H9" s="69" t="n">
        <x:v>52.357435486052914</x:v>
      </x:c>
      <x:c r="I9" s="69" t="n">
        <x:v>4.714870972105828</x:v>
      </x:c>
      <x:c r="J9" s="68" t="n">
        <x:v>0.09896341685648725</x:v>
      </x:c>
      <x:c r="K9" s="69" t="n">
        <x:v>0.8328284999862722</x:v>
      </x:c>
      <x:c r="L9" s="69" t="n">
        <x:v>4.520708408256404</x:v>
      </x:c>
      <x:c r="M9" s="69" t="n">
        <x:v>4.73252211427396</x:v>
      </x:c>
      <x:c r="N9" s="69" t="n">
        <x:v>0.21181370601755667</x:v>
      </x:c>
      <x:c r="O9" s="69" t="n">
        <x:v>0.9503183484468457</x:v>
      </x:c>
      <x:c r="P9" s="70" t="n">
        <x:v>0.7777777777777779</x:v>
      </x:c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67" t="str">
        <x:v>Output emphasis</x:v>
      </x:c>
      <x:c r="B10" s="68" t="n">
        <x:v>0.4</x:v>
      </x:c>
      <x:c r="C10" s="68" t="n">
        <x:v>0.4</x:v>
      </x:c>
      <x:c r="D10" s="68" t="n">
        <x:v>0.2</x:v>
      </x:c>
      <x:c r="E10" s="68" t="n">
        <x:v>0.1</x:v>
      </x:c>
      <x:c r="F10" s="68" t="n">
        <x:v>0.1</x:v>
      </x:c>
      <x:c r="G10" s="69" t="n">
        <x:v>47.01848084045277</x:v>
      </x:c>
      <x:c r="H10" s="69" t="n">
        <x:v>52.98151915954724</x:v>
      </x:c>
      <x:c r="I10" s="69" t="n">
        <x:v>5.963038319094473</x:v>
      </x:c>
      <x:c r="J10" s="68" t="n">
        <x:v>0.12682328762021844</x:v>
      </x:c>
      <x:c r="K10" s="69" t="n">
        <x:v>0.7846550651416684</x:v>
      </x:c>
      <x:c r="L10" s="69" t="n">
        <x:v>6.186991812988168</x:v>
      </x:c>
      <x:c r="M10" s="69" t="n">
        <x:v>5.94267891055869</x:v>
      </x:c>
      <x:c r="N10" s="69" t="n">
        <x:v>-0.24431290242947856</x:v>
      </x:c>
      <x:c r="O10" s="69" t="n">
        <x:v>0.9792912727506594</x:v>
      </x:c>
      <x:c r="P10" s="70" t="n">
        <x:v>0.9444444444444444</x:v>
      </x:c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67" t="str">
        <x:v>Balanced range low</x:v>
      </x:c>
      <x:c r="B11" s="68" t="n">
        <x:v>0.4</x:v>
      </x:c>
      <x:c r="C11" s="68" t="n">
        <x:v>0.3</x:v>
      </x:c>
      <x:c r="D11" s="68" t="n">
        <x:v>0.3</x:v>
      </x:c>
      <x:c r="E11" s="68" t="n">
        <x:v>0.15</x:v>
      </x:c>
      <x:c r="F11" s="68" t="n">
        <x:v>0.15</x:v>
      </x:c>
      <x:c r="G11" s="69" t="n">
        <x:v>47.24096176979753</x:v>
      </x:c>
      <x:c r="H11" s="69" t="n">
        <x:v>52.759038230202464</x:v>
      </x:c>
      <x:c r="I11" s="69" t="n">
        <x:v>5.518076460404934</x:v>
      </x:c>
      <x:c r="J11" s="68" t="n">
        <x:v>0.11680703046001062</x:v>
      </x:c>
      <x:c r="K11" s="69" t="n">
        <x:v>0.8101987815799625</x:v>
      </x:c>
      <x:c r="L11" s="69" t="n">
        <x:v>5.698737885014438</x:v>
      </x:c>
      <x:c r="M11" s="69" t="n">
        <x:v>5.501652694531345</x:v>
      </x:c>
      <x:c r="N11" s="69" t="n">
        <x:v>-0.1970851904830928</x:v>
      </x:c>
      <x:c r="O11" s="69" t="n">
        <x:v>0.9973953308894464</x:v>
      </x:c>
      <x:c r="P11" s="70" t="n">
        <x:v>1</x:v>
      </x:c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71" t="str">
        <x:v>Balanced range high</x:v>
      </x:c>
      <x:c r="B12" s="72" t="n">
        <x:v>0.3</x:v>
      </x:c>
      <x:c r="C12" s="72" t="n">
        <x:v>0.3</x:v>
      </x:c>
      <x:c r="D12" s="72" t="n">
        <x:v>0.4</x:v>
      </x:c>
      <x:c r="E12" s="72" t="n">
        <x:v>0.2</x:v>
      </x:c>
      <x:c r="F12" s="72" t="n">
        <x:v>0.2</x:v>
      </x:c>
      <x:c r="G12" s="73" t="n">
        <x:v>47.43453662278231</x:v>
      </x:c>
      <x:c r="H12" s="73" t="n">
        <x:v>52.5654633772177</x:v>
      </x:c>
      <x:c r="I12" s="73" t="n">
        <x:v>5.130926754435386</x:v>
      </x:c>
      <x:c r="J12" s="72" t="n">
        <x:v>0.10816858600809143</x:v>
      </x:c>
      <x:c r="K12" s="73" t="n">
        <x:v>0.8344774507860179</x:v>
      </x:c>
      <x:c r="L12" s="73" t="n">
        <x:v>5.076136209833649</x:v>
      </x:c>
      <x:c r="M12" s="73" t="n">
        <x:v>5.135907713035536</x:v>
      </x:c>
      <x:c r="N12" s="73" t="n">
        <x:v>0.059771503201886844</x:v>
      </x:c>
      <x:c r="O12" s="73" t="n">
        <x:v>0.9915428644928937</x:v>
      </x:c>
      <x:c r="P12" s="74" t="n">
        <x:v>0.9444444444444444</x:v>
      </x:c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2:P2"/>
    <x:mergeCell ref="A3:P3"/>
  </x:mergeCells>
  <x:pageMargins left="0.7" right="0.7" top="0.75" bottom="0.75" header="0.3" footer="0.3"/>
  <x:drawing xmlns:r="http://schemas.openxmlformats.org/officeDocument/2006/relationships" r:id="Rc1f21dd3a7f647ad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5" customHeight="1">
      <x:c r="A2" s="61" t="str">
        <x:v>Equal-weight FDI by level and arm</x:v>
      </x:c>
      <x:c r="B2" s="61"/>
      <x:c r="C2" s="61"/>
      <x:c r="D2" s="61"/>
      <x:c r="E2" s="61"/>
      <x:c r="F2" s="61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4" t="str">
        <x:v>Arm</x:v>
      </x:c>
      <x:c r="B4" s="35" t="str">
        <x:v>Level</x:v>
      </x:c>
      <x:c r="C4" s="35" t="str">
        <x:v>Runs</x:v>
      </x:c>
      <x:c r="D4" s="35" t="str">
        <x:v>Mean FDI</x:v>
      </x:c>
      <x:c r="E4" s="35" t="str">
        <x:v>SD</x:v>
      </x:c>
      <x:c r="F4" s="36" t="str">
        <x:v>Arm difference at level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fixed</x:v>
      </x:c>
      <x:c r="B5" s="27" t="n">
        <x:v>1</x:v>
      </x:c>
      <x:c r="C5" s="27" t="n">
        <x:v>3</x:v>
      </x:c>
      <x:c r="D5" s="69" t="n">
        <x:v>44.12846241547414</x:v>
      </x:c>
      <x:c r="E5" s="69" t="n">
        <x:v>4.828901318421653</x:v>
      </x:c>
      <x:c r="F5" s="69" t="n">
        <x:v>5.446421410885158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fixed</x:v>
      </x:c>
      <x:c r="B6" s="27" t="n">
        <x:v>2</x:v>
      </x:c>
      <x:c r="C6" s="27" t="n">
        <x:v>3</x:v>
      </x:c>
      <x:c r="D6" s="69" t="n">
        <x:v>41.98867780446586</x:v>
      </x:c>
      <x:c r="E6" s="69" t="n">
        <x:v>15.652014000317976</x:v>
      </x:c>
      <x:c r="F6" s="69" t="n">
        <x:v>2.2134361322375042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fixed</x:v>
      </x:c>
      <x:c r="B7" s="27" t="n">
        <x:v>3</x:v>
      </x:c>
      <x:c r="C7" s="27" t="n">
        <x:v>3</x:v>
      </x:c>
      <x:c r="D7" s="69" t="n">
        <x:v>46.05115359551588</x:v>
      </x:c>
      <x:c r="E7" s="69" t="n">
        <x:v>8.898269273870204</x:v>
      </x:c>
      <x:c r="F7" s="69" t="n">
        <x:v>5.48411016792177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fixed</x:v>
      </x:c>
      <x:c r="B8" s="27" t="n">
        <x:v>4</x:v>
      </x:c>
      <x:c r="C8" s="27" t="n">
        <x:v>3</x:v>
      </x:c>
      <x:c r="D8" s="69" t="n">
        <x:v>47.75472648878861</x:v>
      </x:c>
      <x:c r="E8" s="69" t="n">
        <x:v>5.538123559235163</x:v>
      </x:c>
      <x:c r="F8" s="69" t="n">
        <x:v>6.503435922935452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fixed</x:v>
      </x:c>
      <x:c r="B9" s="27" t="n">
        <x:v>5</x:v>
      </x:c>
      <x:c r="C9" s="27" t="n">
        <x:v>3</x:v>
      </x:c>
      <x:c r="D9" s="69" t="n">
        <x:v>50.77217074077668</x:v>
      </x:c>
      <x:c r="E9" s="69" t="n">
        <x:v>6.498597436110262</x:v>
      </x:c>
      <x:c r="F9" s="69" t="n">
        <x:v>-0.5378783736800585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fixed</x:v>
      </x:c>
      <x:c r="B10" s="27" t="n">
        <x:v>6</x:v>
      </x:c>
      <x:c r="C10" s="27" t="n">
        <x:v>3</x:v>
      </x:c>
      <x:c r="D10" s="69" t="n">
        <x:v>50.0164198684372</x:v>
      </x:c>
      <x:c r="E10" s="69" t="n">
        <x:v>3.534594438513401</x:v>
      </x:c>
      <x:c r="F10" s="69" t="n">
        <x:v>4.641182361815673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fixed</x:v>
      </x:c>
      <x:c r="B11" s="27" t="n">
        <x:v>7</x:v>
      </x:c>
      <x:c r="C11" s="27" t="n">
        <x:v>3</x:v>
      </x:c>
      <x:c r="D11" s="69" t="n">
        <x:v>47.8926900657253</x:v>
      </x:c>
      <x:c r="E11" s="69" t="n">
        <x:v>4.46020584675247</x:v>
      </x:c>
      <x:c r="F11" s="69" t="n">
        <x:v>2.9198279613962086</x:v>
      </x:c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fixed</x:v>
      </x:c>
      <x:c r="B12" s="27" t="n">
        <x:v>8</x:v>
      </x:c>
      <x:c r="C12" s="27" t="n">
        <x:v>3</x:v>
      </x:c>
      <x:c r="D12" s="69" t="n">
        <x:v>49.393671844339075</x:v>
      </x:c>
      <x:c r="E12" s="69" t="n">
        <x:v>4.977921685195361</x:v>
      </x:c>
      <x:c r="F12" s="69" t="n">
        <x:v>0.29506739456532216</x:v>
      </x:c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fixed</x:v>
      </x:c>
      <x:c r="B13" s="27" t="n">
        <x:v>9</x:v>
      </x:c>
      <x:c r="C13" s="27" t="n">
        <x:v>3</x:v>
      </x:c>
      <x:c r="D13" s="69" t="n">
        <x:v>53.95880725676893</x:v>
      </x:c>
      <x:c r="E13" s="69" t="n">
        <x:v>1.5495803979942098</x:v>
      </x:c>
      <x:c r="F13" s="69" t="n">
        <x:v>-2.837699844869448</x:v>
      </x:c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fixed</x:v>
      </x:c>
      <x:c r="B14" s="27" t="n">
        <x:v>10</x:v>
      </x:c>
      <x:c r="C14" s="27" t="n">
        <x:v>3</x:v>
      </x:c>
      <x:c r="D14" s="69" t="n">
        <x:v>40.36940254234591</x:v>
      </x:c>
      <x:c r="E14" s="69" t="n">
        <x:v>10.666702002156189</x:v>
      </x:c>
      <x:c r="F14" s="69" t="n">
        <x:v>18.099833359547112</x:v>
      </x:c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fixed</x:v>
      </x:c>
      <x:c r="B15" s="27" t="n">
        <x:v>11</x:v>
      </x:c>
      <x:c r="C15" s="27" t="n">
        <x:v>3</x:v>
      </x:c>
      <x:c r="D15" s="69" t="n">
        <x:v>52.175689639109436</x:v>
      </x:c>
      <x:c r="E15" s="69" t="n">
        <x:v>4.779243820910891</x:v>
      </x:c>
      <x:c r="F15" s="69" t="n">
        <x:v>6.720776085687341</x:v>
      </x:c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fixed</x:v>
      </x:c>
      <x:c r="B16" s="27" t="n">
        <x:v>12</x:v>
      </x:c>
      <x:c r="C16" s="27" t="n">
        <x:v>3</x:v>
      </x:c>
      <x:c r="D16" s="69" t="n">
        <x:v>43.0483440823225</x:v>
      </x:c>
      <x:c r="E16" s="69" t="n">
        <x:v>3.984901375023023</x:v>
      </x:c>
      <x:c r="F16" s="69" t="n">
        <x:v>15.951054733418921</x:v>
      </x:c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75" t="str">
        <x:v>adaptive</x:v>
      </x:c>
      <x:c r="B17" s="75" t="n">
        <x:v>1</x:v>
      </x:c>
      <x:c r="C17" s="75" t="n">
        <x:v>3</x:v>
      </x:c>
      <x:c r="D17" s="76" t="n">
        <x:v>49.5748838263593</x:v>
      </x:c>
      <x:c r="E17" s="76" t="n">
        <x:v>5.721427598662783</x:v>
      </x:c>
      <x:c r="F17" s="76" t="n">
        <x:v>5.446421410885158</x:v>
      </x:c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adaptive</x:v>
      </x:c>
      <x:c r="B18" s="27" t="n">
        <x:v>2</x:v>
      </x:c>
      <x:c r="C18" s="27" t="n">
        <x:v>3</x:v>
      </x:c>
      <x:c r="D18" s="69" t="n">
        <x:v>44.20211393670336</x:v>
      </x:c>
      <x:c r="E18" s="69" t="n">
        <x:v>5.006374887345766</x:v>
      </x:c>
      <x:c r="F18" s="69" t="n">
        <x:v>2.2134361322375042</x:v>
      </x:c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>
        <x:v>adaptive</x:v>
      </x:c>
      <x:c r="B19" s="27" t="n">
        <x:v>3</x:v>
      </x:c>
      <x:c r="C19" s="27" t="n">
        <x:v>3</x:v>
      </x:c>
      <x:c r="D19" s="69" t="n">
        <x:v>51.53526376343765</x:v>
      </x:c>
      <x:c r="E19" s="69" t="n">
        <x:v>9.975664240205264</x:v>
      </x:c>
      <x:c r="F19" s="69" t="n">
        <x:v>5.48411016792177</x:v>
      </x:c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>
        <x:v>adaptive</x:v>
      </x:c>
      <x:c r="B20" s="27" t="n">
        <x:v>4</x:v>
      </x:c>
      <x:c r="C20" s="27" t="n">
        <x:v>3</x:v>
      </x:c>
      <x:c r="D20" s="69" t="n">
        <x:v>54.258162411724065</x:v>
      </x:c>
      <x:c r="E20" s="69" t="n">
        <x:v>4.654379294369524</x:v>
      </x:c>
      <x:c r="F20" s="69" t="n">
        <x:v>6.503435922935452</x:v>
      </x:c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>
        <x:v>adaptive</x:v>
      </x:c>
      <x:c r="B21" s="27" t="n">
        <x:v>5</x:v>
      </x:c>
      <x:c r="C21" s="27" t="n">
        <x:v>3</x:v>
      </x:c>
      <x:c r="D21" s="69" t="n">
        <x:v>50.23429236709662</x:v>
      </x:c>
      <x:c r="E21" s="69" t="n">
        <x:v>2.3840453323759023</x:v>
      </x:c>
      <x:c r="F21" s="69" t="n">
        <x:v>-0.5378783736800585</x:v>
      </x:c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>
        <x:v>adaptive</x:v>
      </x:c>
      <x:c r="B22" s="27" t="n">
        <x:v>6</x:v>
      </x:c>
      <x:c r="C22" s="27" t="n">
        <x:v>3</x:v>
      </x:c>
      <x:c r="D22" s="69" t="n">
        <x:v>54.65760223025287</x:v>
      </x:c>
      <x:c r="E22" s="69" t="n">
        <x:v>1.5936646628220312</x:v>
      </x:c>
      <x:c r="F22" s="69" t="n">
        <x:v>4.641182361815673</x:v>
      </x:c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str">
        <x:v>adaptive</x:v>
      </x:c>
      <x:c r="B23" s="27" t="n">
        <x:v>7</x:v>
      </x:c>
      <x:c r="C23" s="27" t="n">
        <x:v>3</x:v>
      </x:c>
      <x:c r="D23" s="69" t="n">
        <x:v>50.812518027121506</x:v>
      </x:c>
      <x:c r="E23" s="69" t="n">
        <x:v>1.91145784101898</x:v>
      </x:c>
      <x:c r="F23" s="69" t="n">
        <x:v>2.9198279613962086</x:v>
      </x:c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str">
        <x:v>adaptive</x:v>
      </x:c>
      <x:c r="B24" s="27" t="n">
        <x:v>8</x:v>
      </x:c>
      <x:c r="C24" s="27" t="n">
        <x:v>3</x:v>
      </x:c>
      <x:c r="D24" s="69" t="n">
        <x:v>49.6887392389044</x:v>
      </x:c>
      <x:c r="E24" s="69" t="n">
        <x:v>3.460414095620366</x:v>
      </x:c>
      <x:c r="F24" s="69" t="n">
        <x:v>0.29506739456532216</x:v>
      </x:c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str">
        <x:v>adaptive</x:v>
      </x:c>
      <x:c r="B25" s="27" t="n">
        <x:v>9</x:v>
      </x:c>
      <x:c r="C25" s="27" t="n">
        <x:v>3</x:v>
      </x:c>
      <x:c r="D25" s="69" t="n">
        <x:v>51.12110741189948</x:v>
      </x:c>
      <x:c r="E25" s="69" t="n">
        <x:v>0.7323816309186747</x:v>
      </x:c>
      <x:c r="F25" s="69" t="n">
        <x:v>-2.837699844869448</x:v>
      </x:c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str">
        <x:v>adaptive</x:v>
      </x:c>
      <x:c r="B26" s="27" t="n">
        <x:v>10</x:v>
      </x:c>
      <x:c r="C26" s="27" t="n">
        <x:v>3</x:v>
      </x:c>
      <x:c r="D26" s="69" t="n">
        <x:v>58.46923590189302</x:v>
      </x:c>
      <x:c r="E26" s="69" t="n">
        <x:v>1.1313461074581694</x:v>
      </x:c>
      <x:c r="F26" s="69" t="n">
        <x:v>18.099833359547112</x:v>
      </x:c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str">
        <x:v>adaptive</x:v>
      </x:c>
      <x:c r="B27" s="27" t="n">
        <x:v>11</x:v>
      </x:c>
      <x:c r="C27" s="27" t="n">
        <x:v>3</x:v>
      </x:c>
      <x:c r="D27" s="69" t="n">
        <x:v>58.896465724796776</x:v>
      </x:c>
      <x:c r="E27" s="69" t="n">
        <x:v>1.596791202241222</x:v>
      </x:c>
      <x:c r="F27" s="69" t="n">
        <x:v>6.720776085687341</x:v>
      </x:c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str">
        <x:v>adaptive</x:v>
      </x:c>
      <x:c r="B28" s="27" t="n">
        <x:v>12</x:v>
      </x:c>
      <x:c r="C28" s="27" t="n">
        <x:v>3</x:v>
      </x:c>
      <x:c r="D28" s="69" t="n">
        <x:v>58.99939881574142</x:v>
      </x:c>
      <x:c r="E28" s="69" t="n">
        <x:v>3.053088436798437</x:v>
      </x:c>
      <x:c r="F28" s="69" t="n">
        <x:v>15.951054733418921</x:v>
      </x:c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str">
        <x:v>Level</x:v>
      </x:c>
      <x:c r="B31" s="27" t="str">
        <x:v>Fixed</x:v>
      </x:c>
      <x:c r="C31" s="27" t="str">
        <x:v>Adaptive</x:v>
      </x:c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n">
        <x:v>1</x:v>
      </x:c>
      <x:c r="B32" s="27" t="n">
        <x:v>44.12846241547414</x:v>
      </x:c>
      <x:c r="C32" s="27" t="n">
        <x:v>49.5748838263593</x:v>
      </x:c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n">
        <x:v>2</x:v>
      </x:c>
      <x:c r="B33" s="27" t="n">
        <x:v>41.98867780446586</x:v>
      </x:c>
      <x:c r="C33" s="27" t="n">
        <x:v>44.20211393670336</x:v>
      </x:c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n">
        <x:v>3</x:v>
      </x:c>
      <x:c r="B34" s="27" t="n">
        <x:v>46.05115359551588</x:v>
      </x:c>
      <x:c r="C34" s="27" t="n">
        <x:v>51.53526376343765</x:v>
      </x:c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n">
        <x:v>4</x:v>
      </x:c>
      <x:c r="B35" s="27" t="n">
        <x:v>47.75472648878861</x:v>
      </x:c>
      <x:c r="C35" s="27" t="n">
        <x:v>54.258162411724065</x:v>
      </x:c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n">
        <x:v>5</x:v>
      </x:c>
      <x:c r="B36" s="27" t="n">
        <x:v>50.77217074077668</x:v>
      </x:c>
      <x:c r="C36" s="27" t="n">
        <x:v>50.23429236709662</x:v>
      </x:c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n">
        <x:v>6</x:v>
      </x:c>
      <x:c r="B37" s="27" t="n">
        <x:v>50.0164198684372</x:v>
      </x:c>
      <x:c r="C37" s="27" t="n">
        <x:v>54.65760223025287</x:v>
      </x:c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n">
        <x:v>7</x:v>
      </x:c>
      <x:c r="B38" s="27" t="n">
        <x:v>47.8926900657253</x:v>
      </x:c>
      <x:c r="C38" s="27" t="n">
        <x:v>50.812518027121506</x:v>
      </x:c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n">
        <x:v>8</x:v>
      </x:c>
      <x:c r="B39" s="27" t="n">
        <x:v>49.393671844339075</x:v>
      </x:c>
      <x:c r="C39" s="27" t="n">
        <x:v>49.6887392389044</x:v>
      </x:c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n">
        <x:v>9</x:v>
      </x:c>
      <x:c r="B40" s="27" t="n">
        <x:v>53.95880725676893</x:v>
      </x:c>
      <x:c r="C40" s="27" t="n">
        <x:v>51.12110741189948</x:v>
      </x:c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n">
        <x:v>10</x:v>
      </x:c>
      <x:c r="B41" s="27" t="n">
        <x:v>40.36940254234591</x:v>
      </x:c>
      <x:c r="C41" s="27" t="n">
        <x:v>58.46923590189302</x:v>
      </x:c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n">
        <x:v>11</x:v>
      </x:c>
      <x:c r="B42" s="27" t="n">
        <x:v>52.175689639109436</x:v>
      </x:c>
      <x:c r="C42" s="27" t="n">
        <x:v>58.896465724796776</x:v>
      </x:c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n">
        <x:v>12</x:v>
      </x:c>
      <x:c r="B43" s="27" t="n">
        <x:v>43.0483440823225</x:v>
      </x:c>
      <x:c r="C43" s="27" t="n">
        <x:v>58.99939881574142</x:v>
      </x:c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d90d0a4a18734599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35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45" hidden="0" customWidth="1"/>
    <x:col min="7" max="7" width="4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5" customHeight="1">
      <x:c r="A1" s="61" t="str">
        <x:v>Run-level FDI calculations</x:v>
      </x:c>
      <x:c r="B1" s="61"/>
      <x:c r="C1" s="61"/>
      <x:c r="D1" s="77"/>
      <x:c r="E1" s="77"/>
      <x:c r="F1" s="61"/>
      <x:c r="G1" s="61"/>
      <x:c r="H1" s="78"/>
      <x:c r="I1" s="78"/>
      <x:c r="J1" s="79"/>
      <x:c r="K1" s="79"/>
      <x:c r="L1" s="79"/>
      <x:c r="M1" s="79"/>
      <x:c r="N1" s="79"/>
      <x:c r="O1" s="79"/>
      <x:c r="P1" s="79"/>
      <x:c r="Q1" s="80"/>
      <x:c r="R1" s="80"/>
      <x:c r="S1" s="80"/>
      <x:c r="T1" s="80"/>
      <x:c r="U1" s="80"/>
      <x:c r="V1" s="80"/>
      <x:c r="W1" s="80"/>
      <x:c r="X1" s="27"/>
      <x:c r="Y1" s="27"/>
      <x:c r="Z1" s="27"/>
    </x:row>
    <x:row r="2">
      <x:c r="A2" s="34" t="str">
        <x:v>Run ID</x:v>
      </x:c>
      <x:c r="B2" s="35" t="str">
        <x:v>Arm</x:v>
      </x:c>
      <x:c r="C2" s="35" t="str">
        <x:v>Level</x:v>
      </x:c>
      <x:c r="D2" s="35" t="str">
        <x:v>Production</x:v>
      </x:c>
      <x:c r="E2" s="35" t="str">
        <x:v>Automated production</x:v>
      </x:c>
      <x:c r="F2" s="35" t="str">
        <x:v>Researched technologies</x:v>
      </x:c>
      <x:c r="G2" s="35" t="str">
        <x:v>Produced item types</x:v>
      </x:c>
      <x:c r="H2" s="35" t="str">
        <x:v>Technology count</x:v>
      </x:c>
      <x:c r="I2" s="35" t="str">
        <x:v>Achievement count</x:v>
      </x:c>
      <x:c r="J2" s="35" t="str">
        <x:v>ln(1+production)</x:v>
      </x:c>
      <x:c r="K2" s="35" t="str">
        <x:v>ln(1+automation)</x:v>
      </x:c>
      <x:c r="L2" s="35" t="str">
        <x:v>Production z</x:v>
      </x:c>
      <x:c r="M2" s="35" t="str">
        <x:v>Automation z</x:v>
      </x:c>
      <x:c r="N2" s="35" t="str">
        <x:v>Technology z</x:v>
      </x:c>
      <x:c r="O2" s="35" t="str">
        <x:v>Achievement z</x:v>
      </x:c>
      <x:c r="P2" s="35" t="str">
        <x:v>Advancement z</x:v>
      </x:c>
      <x:c r="Q2" s="35" t="str">
        <x:v>Equal weights</x:v>
      </x:c>
      <x:c r="R2" s="35" t="str">
        <x:v>Production emphasis</x:v>
      </x:c>
      <x:c r="S2" s="35" t="str">
        <x:v>Automation emphasis</x:v>
      </x:c>
      <x:c r="T2" s="35" t="str">
        <x:v>Advancement emphasis</x:v>
      </x:c>
      <x:c r="U2" s="35" t="str">
        <x:v>Output emphasis</x:v>
      </x:c>
      <x:c r="V2" s="35" t="str">
        <x:v>Balanced range low</x:v>
      </x:c>
      <x:c r="W2" s="36" t="str">
        <x:v>Balanced range high</x:v>
      </x:c>
      <x:c r="X2" s="27"/>
      <x:c r="Y2" s="27"/>
      <x:c r="Z2" s="27"/>
    </x:row>
    <x:row r="3">
      <x:c r="A3" s="27" t="str">
        <x:v>FLE_adaptive_L01_R01_20260928T075220</x:v>
      </x:c>
      <x:c r="B3" s="27" t="str">
        <x:v>adaptive</x:v>
      </x:c>
      <x:c r="C3" s="27" t="n">
        <x:v>1</x:v>
      </x:c>
      <x:c r="D3" s="27" t="n">
        <x:v>4763</x:v>
      </x:c>
      <x:c r="E3" s="27" t="n">
        <x:v>1242</x:v>
      </x:c>
      <x:c r="F3" s="27" t="str">
        <x:v>automation-science-pack, steam-power</x:v>
      </x:c>
      <x:c r="G3" s="27" t="str">
        <x:v>iron-gear-wheel, stone, stone-furnace, iron-ore, iron-plate, burner-mining-drill, coal</x:v>
      </x:c>
      <x:c r="H3" s="27" t="n">
        <x:f>IF(F3="",0,LEN(F3)-LEN(SUBSTITUTE(F3,",",""))+1)</x:f>
        <x:v>2</x:v>
      </x:c>
      <x:c r="I3" s="27" t="n">
        <x:f>IF(G3="",0,LEN(G3)-LEN(SUBSTITUTE(G3,",",""))+1)</x:f>
        <x:v>7</x:v>
      </x:c>
      <x:c r="J3" s="27" t="n">
        <x:f>LN(1+D3)</x:f>
        <x:v>8.46884293047519</x:v>
      </x:c>
      <x:c r="K3" s="27" t="n">
        <x:f>LN(1+E3)</x:f>
        <x:v>7.1252830915107115</x:v>
      </x:c>
      <x:c r="L3" s="27" t="n">
        <x:f>(J3-Method!$C$13)/Method!$D$13</x:f>
        <x:v>0.5844984593113273</x:v>
      </x:c>
      <x:c r="M3" s="27" t="n">
        <x:f>(K3-Method!$C$14)/Method!$D$14</x:f>
        <x:v>0.4143647317010672</x:v>
      </x:c>
      <x:c r="N3" s="27" t="n">
        <x:f>(H3-Method!$C$15)/Method!$D$15</x:f>
        <x:v>-0.2861487676222712</x:v>
      </x:c>
      <x:c r="O3" s="27" t="n">
        <x:f>(I3-Method!$C$16)/Method!$D$16</x:f>
        <x:v>-0.28454083702339367</x:v>
      </x:c>
      <x:c r="P3" s="27" t="n">
        <x:f>(N3+O3)/2</x:f>
        <x:v>-0.28534480232283244</x:v>
      </x:c>
      <x:c r="Q3" s="27" t="n">
        <x:f>50+10*($L3*Sensitivity!$B$6+$M3*Sensitivity!$C$6+$P3*Sensitivity!$D$6)</x:f>
        <x:v>52.37839462896521</x:v>
      </x:c>
      <x:c r="R3" s="27" t="n">
        <x:f>50+10*($L3*Sensitivity!$B$7+$M3*Sensitivity!$C$7+$P3*Sensitivity!$D$7)</x:f>
        <x:v>53.245042120002225</x:v>
      </x:c>
      <x:c r="S3" s="27" t="n">
        <x:f>50+10*($L3*Sensitivity!$B$8+$M3*Sensitivity!$C$8+$P3*Sensitivity!$D$8)</x:f>
        <x:v>52.81970780097657</x:v>
      </x:c>
      <x:c r="T3" s="27" t="n">
        <x:f>50+10*($L3*Sensitivity!$B$9+$M3*Sensitivity!$C$9+$P3*Sensitivity!$D$9)</x:f>
        <x:v>51.07043396591683</x:v>
      </x:c>
      <x:c r="U3" s="27" t="n">
        <x:f>50+10*($L3*Sensitivity!$B$10+$M3*Sensitivity!$C$10+$P3*Sensitivity!$D$10)</x:f>
        <x:v>53.42476315940391</x:v>
      </x:c>
      <x:c r="V3" s="27" t="n">
        <x:f>50+10*($L3*Sensitivity!$B$11+$M3*Sensitivity!$C$11+$P3*Sensitivity!$D$11)</x:f>
        <x:v>52.72505362538001</x:v>
      </x:c>
      <x:c r="W3" s="27" t="n">
        <x:f>50+10*($L3*Sensitivity!$B$12+$M3*Sensitivity!$C$12+$P3*Sensitivity!$D$12)</x:f>
        <x:v>51.855210363745854</x:v>
      </x:c>
      <x:c r="X3" s="27"/>
      <x:c r="Y3" s="27"/>
      <x:c r="Z3" s="27"/>
    </x:row>
    <x:row r="4">
      <x:c r="A4" s="27" t="str">
        <x:v>FLE_adaptive_L01_R02_20260928T082048</x:v>
      </x:c>
      <x:c r="B4" s="27" t="str">
        <x:v>adaptive</x:v>
      </x:c>
      <x:c r="C4" s="27" t="n">
        <x:v>1</x:v>
      </x:c>
      <x:c r="D4" s="27" t="n">
        <x:v>3737</x:v>
      </x:c>
      <x:c r="E4" s="27" t="n">
        <x:v>1012</x:v>
      </x:c>
      <x:c r="F4" s="27" t="str">
        <x:v>steam-power, automation-science-pack</x:v>
      </x:c>
      <x:c r="G4" s="27" t="str">
        <x:v>iron-gear-wheel, stone, wood, iron-chest, burner-mining-drill, stone-furnace, iron-plate, iron-ore, coal</x:v>
      </x:c>
      <x:c r="H4" s="27" t="n">
        <x:f>IF(F4="",0,LEN(F4)-LEN(SUBSTITUTE(F4,",",""))+1)</x:f>
        <x:v>2</x:v>
      </x:c>
      <x:c r="I4" s="27" t="n">
        <x:f>IF(G4="",0,LEN(G4)-LEN(SUBSTITUTE(G4,",",""))+1)</x:f>
        <x:v>9</x:v>
      </x:c>
      <x:c r="J4" s="27" t="n">
        <x:f>LN(1+D4)</x:f>
        <x:v>8.226305988015508</x:v>
      </x:c>
      <x:c r="K4" s="27" t="n">
        <x:f>LN(1+E4)</x:f>
        <x:v>6.920671504248683</x:v>
      </x:c>
      <x:c r="L4" s="27" t="n">
        <x:f>(J4-Method!$C$13)/Method!$D$13</x:f>
        <x:v>0.1061563821281038</x:v>
      </x:c>
      <x:c r="M4" s="27" t="n">
        <x:f>(K4-Method!$C$14)/Method!$D$14</x:f>
        <x:v>0.105543711408631</x:v>
      </x:c>
      <x:c r="N4" s="27" t="n">
        <x:f>(H4-Method!$C$15)/Method!$D$15</x:f>
        <x:v>-0.2861487676222712</x:v>
      </x:c>
      <x:c r="O4" s="27" t="n">
        <x:f>(I4-Method!$C$16)/Method!$D$16</x:f>
        <x:v>1.8420275238882846</x:v>
      </x:c>
      <x:c r="P4" s="27" t="n">
        <x:f>(N4+O4)/2</x:f>
        <x:v>0.7779393781330067</x:v>
      </x:c>
      <x:c r="Q4" s="27" t="n">
        <x:f>50+10*($L4*Sensitivity!$B$6+$M4*Sensitivity!$C$6+$P4*Sensitivity!$D$6)</x:f>
        <x:v>53.29879823889914</x:v>
      </x:c>
      <x:c r="R4" s="27" t="n">
        <x:f>50+10*($L4*Sensitivity!$B$7+$M4*Sensitivity!$C$7+$P4*Sensitivity!$D$7)</x:f>
        <x:v>52.73948963449461</x:v>
      </x:c>
      <x:c r="S4" s="27" t="n">
        <x:f>50+10*($L4*Sensitivity!$B$8+$M4*Sensitivity!$C$8+$P4*Sensitivity!$D$8)</x:f>
        <x:v>52.73795795769593</x:v>
      </x:c>
      <x:c r="T4" s="27" t="n">
        <x:f>50+10*($L4*Sensitivity!$B$9+$M4*Sensitivity!$C$9+$P4*Sensitivity!$D$9)</x:f>
        <x:v>54.41894712450687</x:v>
      </x:c>
      <x:c r="U4" s="27" t="n">
        <x:f>50+10*($L4*Sensitivity!$B$10+$M4*Sensitivity!$C$10+$P4*Sensitivity!$D$10)</x:f>
        <x:v>52.402679130412956</x:v>
      </x:c>
      <x:c r="V4" s="27" t="n">
        <x:f>50+10*($L4*Sensitivity!$B$11+$M4*Sensitivity!$C$11+$P4*Sensitivity!$D$11)</x:f>
        <x:v>53.075074797137326</x:v>
      </x:c>
      <x:c r="W4" s="27" t="n">
        <x:f>50+10*($L4*Sensitivity!$B$12+$M4*Sensitivity!$C$12+$P4*Sensitivity!$D$12)</x:f>
        <x:v>53.74685779314223</x:v>
      </x:c>
      <x:c r="X4" s="27"/>
      <x:c r="Y4" s="27"/>
      <x:c r="Z4" s="27"/>
    </x:row>
    <x:row r="5">
      <x:c r="A5" s="27" t="str">
        <x:v>FLE_adaptive_L01_R03_20260928T084848</x:v>
      </x:c>
      <x:c r="B5" s="27" t="str">
        <x:v>adaptive</x:v>
      </x:c>
      <x:c r="C5" s="27" t="n">
        <x:v>1</x:v>
      </x:c>
      <x:c r="D5" s="27" t="n">
        <x:v>2312</x:v>
      </x:c>
      <x:c r="E5" s="27" t="n">
        <x:v>488</x:v>
      </x:c>
      <x:c r="F5" s="27" t="str">
        <x:v>steam-power, automation-science-pack</x:v>
      </x:c>
      <x:c r="G5" s="27" t="str">
        <x:v>coal, iron-ore, stone-furnace, iron-gear-wheel, burner-mining-drill, iron-plate, stone</x:v>
      </x:c>
      <x:c r="H5" s="27" t="n">
        <x:f>IF(F5="",0,LEN(F5)-LEN(SUBSTITUTE(F5,",",""))+1)</x:f>
        <x:v>2</x:v>
      </x:c>
      <x:c r="I5" s="27" t="n">
        <x:f>IF(G5="",0,LEN(G5)-LEN(SUBSTITUTE(G5,",",""))+1)</x:f>
        <x:v>7</x:v>
      </x:c>
      <x:c r="J5" s="27" t="n">
        <x:f>LN(1+D5)</x:f>
        <x:v>7.746300662231439</x:v>
      </x:c>
      <x:c r="K5" s="27" t="n">
        <x:f>LN(1+E5)</x:f>
        <x:v>6.192362489474872</x:v>
      </x:c>
      <x:c r="L5" s="27" t="n">
        <x:f>(J5-Method!$C$13)/Method!$D$13</x:f>
        <x:v>-0.8405313358995478</x:v>
      </x:c>
      <x:c r="M5" s="27" t="n">
        <x:f>(K5-Method!$C$14)/Method!$D$14</x:f>
        <x:v>-0.9936957600226498</x:v>
      </x:c>
      <x:c r="N5" s="27" t="n">
        <x:f>(H5-Method!$C$15)/Method!$D$15</x:f>
        <x:v>-0.2861487676222712</x:v>
      </x:c>
      <x:c r="O5" s="27" t="n">
        <x:f>(I5-Method!$C$16)/Method!$D$16</x:f>
        <x:v>-0.28454083702339367</x:v>
      </x:c>
      <x:c r="P5" s="27" t="n">
        <x:f>(N5+O5)/2</x:f>
        <x:v>-0.28534480232283244</x:v>
      </x:c>
      <x:c r="Q5" s="27" t="n">
        <x:f>50+10*($L5*Sensitivity!$B$6+$M5*Sensitivity!$C$6+$P5*Sensitivity!$D$6)</x:f>
        <x:v>42.934760339183235</x:v>
      </x:c>
      <x:c r="R5" s="27" t="n">
        <x:f>50+10*($L5*Sensitivity!$B$7+$M5*Sensitivity!$C$7+$P5*Sensitivity!$D$7)</x:f>
        <x:v>42.59974191463856</x:v>
      </x:c>
      <x:c r="S5" s="27" t="n">
        <x:f>50+10*($L5*Sensitivity!$B$8+$M5*Sensitivity!$C$8+$P5*Sensitivity!$D$8)</x:f>
        <x:v>42.2168308543308</x:v>
      </x:c>
      <x:c r="T5" s="27" t="n">
        <x:f>50+10*($L5*Sensitivity!$B$9+$M5*Sensitivity!$C$9+$P5*Sensitivity!$D$9)</x:f>
        <x:v>43.98770824858035</x:v>
      </x:c>
      <x:c r="U5" s="27" t="n">
        <x:f>50+10*($L5*Sensitivity!$B$10+$M5*Sensitivity!$C$10+$P5*Sensitivity!$D$10)</x:f>
        <x:v>42.09240201166554</x:v>
      </x:c>
      <x:c r="V5" s="27" t="n">
        <x:f>50+10*($L5*Sensitivity!$B$11+$M5*Sensitivity!$C$11+$P5*Sensitivity!$D$11)</x:f>
        <x:v>42.80075296936536</x:v>
      </x:c>
      <x:c r="W5" s="27" t="n">
        <x:f>50+10*($L5*Sensitivity!$B$12+$M5*Sensitivity!$C$12+$P5*Sensitivity!$D$12)</x:f>
        <x:v>43.35593950294208</x:v>
      </x:c>
      <x:c r="X5" s="27"/>
      <x:c r="Y5" s="27"/>
      <x:c r="Z5" s="27"/>
    </x:row>
    <x:row r="6">
      <x:c r="A6" s="27" t="str">
        <x:v>FLE_adaptive_L02_R01_20261004T142246</x:v>
      </x:c>
      <x:c r="B6" s="27" t="str">
        <x:v>adaptive</x:v>
      </x:c>
      <x:c r="C6" s="27" t="n">
        <x:v>2</x:v>
      </x:c>
      <x:c r="D6" s="27" t="n">
        <x:v>3023</x:v>
      </x:c>
      <x:c r="E6" s="27" t="n">
        <x:v>688</x:v>
      </x:c>
      <x:c r="F6" s="27" t="str">
        <x:v>steam-power, automation-science-pack</x:v>
      </x:c>
      <x:c r="G6" s="27" t="str">
        <x:v>stone-furnace, stone, burner-mining-drill, coal, iron-gear-wheel, iron-plate, iron-ore</x:v>
      </x:c>
      <x:c r="H6" s="27" t="n">
        <x:f>IF(F6="",0,LEN(F6)-LEN(SUBSTITUTE(F6,",",""))+1)</x:f>
        <x:v>2</x:v>
      </x:c>
      <x:c r="I6" s="27" t="n">
        <x:f>IF(G6="",0,LEN(G6)-LEN(SUBSTITUTE(G6,",",""))+1)</x:f>
        <x:v>7</x:v>
      </x:c>
      <x:c r="J6" s="27" t="n">
        <x:f>LN(1+D6)</x:f>
        <x:v>8.014335737299424</x:v>
      </x:c>
      <x:c r="K6" s="27" t="n">
        <x:f>LN(1+E6)</x:f>
        <x:v>6.535241271013659</x:v>
      </x:c>
      <x:c r="L6" s="27" t="n">
        <x:f>(J6-Method!$C$13)/Method!$D$13</x:f>
        <x:v>-0.3119007146600888</x:v>
      </x:c>
      <x:c r="M6" s="27" t="n">
        <x:f>(K6-Method!$C$14)/Method!$D$14</x:f>
        <x:v>-0.4761875554856624</x:v>
      </x:c>
      <x:c r="N6" s="27" t="n">
        <x:f>(H6-Method!$C$15)/Method!$D$15</x:f>
        <x:v>-0.2861487676222712</x:v>
      </x:c>
      <x:c r="O6" s="27" t="n">
        <x:f>(I6-Method!$C$16)/Method!$D$16</x:f>
        <x:v>-0.28454083702339367</x:v>
      </x:c>
      <x:c r="P6" s="27" t="n">
        <x:f>(N6+O6)/2</x:f>
        <x:v>-0.28534480232283244</x:v>
      </x:c>
      <x:c r="Q6" s="27" t="n">
        <x:f>50+10*($L6*Sensitivity!$B$6+$M6*Sensitivity!$C$6+$P6*Sensitivity!$D$6)</x:f>
        <x:v>46.421889758438056</x:v>
      </x:c>
      <x:c r="R6" s="27" t="n">
        <x:f>50+10*($L6*Sensitivity!$B$7+$M6*Sensitivity!$C$7+$P6*Sensitivity!$D$7)</x:f>
        <x:v>46.53666553217832</x:v>
      </x:c>
      <x:c r="S6" s="27" t="n">
        <x:f>50+10*($L6*Sensitivity!$B$8+$M6*Sensitivity!$C$8+$P6*Sensitivity!$D$8)</x:f>
        <x:v>46.125948430114384</x:v>
      </x:c>
      <x:c r="T6" s="27" t="n">
        <x:f>50+10*($L6*Sensitivity!$B$9+$M6*Sensitivity!$C$9+$P6*Sensitivity!$D$9)</x:f>
        <x:v>46.60305531302146</x:v>
      </x:c>
      <x:c r="U6" s="27" t="n">
        <x:f>50+10*($L6*Sensitivity!$B$10+$M6*Sensitivity!$C$10+$P6*Sensitivity!$D$10)</x:f>
        <x:v>46.27695731477133</x:v>
      </x:c>
      <x:c r="V6" s="27" t="n">
        <x:f>50+10*($L6*Sensitivity!$B$11+$M6*Sensitivity!$C$11+$P6*Sensitivity!$D$11)</x:f>
        <x:v>46.467800067934164</x:v>
      </x:c>
      <x:c r="W6" s="27" t="n">
        <x:f>50+10*($L6*Sensitivity!$B$12+$M6*Sensitivity!$C$12+$P6*Sensitivity!$D$12)</x:f>
        <x:v>46.494355980271415</x:v>
      </x:c>
      <x:c r="X6" s="27"/>
      <x:c r="Y6" s="27"/>
      <x:c r="Z6" s="27"/>
    </x:row>
    <x:row r="7">
      <x:c r="A7" s="27" t="str">
        <x:v>FLE_adaptive_L02_R02_20261004T151333</x:v>
      </x:c>
      <x:c r="B7" s="27" t="str">
        <x:v>adaptive</x:v>
      </x:c>
      <x:c r="C7" s="27" t="n">
        <x:v>2</x:v>
      </x:c>
      <x:c r="D7" s="27" t="n">
        <x:v>2804</x:v>
      </x:c>
      <x:c r="E7" s="27" t="n">
        <x:v>680</x:v>
      </x:c>
      <x:c r="F7" s="27" t="str">
        <x:v>steam-power, automation-science-pack</x:v>
      </x:c>
      <x:c r="G7" s="27" t="str">
        <x:v>iron-ore, stone-furnace, iron-plate, iron-gear-wheel, iron-chest, coal, burner-mining-drill, stone</x:v>
      </x:c>
      <x:c r="H7" s="27" t="n">
        <x:f>IF(F7="",0,LEN(F7)-LEN(SUBSTITUTE(F7,",",""))+1)</x:f>
        <x:v>2</x:v>
      </x:c>
      <x:c r="I7" s="27" t="n">
        <x:f>IF(G7="",0,LEN(G7)-LEN(SUBSTITUTE(G7,",",""))+1)</x:f>
        <x:v>8</x:v>
      </x:c>
      <x:c r="J7" s="27" t="n">
        <x:f>LN(1+D7)</x:f>
        <x:v>7.9391588179567965</x:v>
      </x:c>
      <x:c r="K7" s="27" t="n">
        <x:f>LN(1+E7)</x:f>
        <x:v>6.523562306149512</x:v>
      </x:c>
      <x:c r="L7" s="27" t="n">
        <x:f>(J7-Method!$C$13)/Method!$D$13</x:f>
        <x:v>-0.460167957538216</x:v>
      </x:c>
      <x:c r="M7" s="27" t="n">
        <x:f>(K7-Method!$C$14)/Method!$D$14</x:f>
        <x:v>-0.4938146600576361</x:v>
      </x:c>
      <x:c r="N7" s="27" t="n">
        <x:f>(H7-Method!$C$15)/Method!$D$15</x:f>
        <x:v>-0.2861487676222712</x:v>
      </x:c>
      <x:c r="O7" s="27" t="n">
        <x:f>(I7-Method!$C$16)/Method!$D$16</x:f>
        <x:v>0.7787433434324454</x:v>
      </x:c>
      <x:c r="P7" s="27" t="n">
        <x:f>(N7+O7)/2</x:f>
        <x:v>0.24629728790508712</x:v>
      </x:c>
      <x:c r="Q7" s="27" t="n">
        <x:f>50+10*($L7*Sensitivity!$B$6+$M7*Sensitivity!$C$6+$P7*Sensitivity!$D$6)</x:f>
        <x:v>47.641048901030786</x:v>
      </x:c>
      <x:c r="R7" s="27" t="n">
        <x:f>50+10*($L7*Sensitivity!$B$7+$M7*Sensitivity!$C$7+$P7*Sensitivity!$D$7)</x:f>
        <x:v>47.080366781927545</x:v>
      </x:c>
      <x:c r="S7" s="27" t="n">
        <x:f>50+10*($L7*Sensitivity!$B$8+$M7*Sensitivity!$C$8+$P7*Sensitivity!$D$8)</x:f>
        <x:v>46.996250025628996</x:v>
      </x:c>
      <x:c r="T7" s="27" t="n">
        <x:f>50+10*($L7*Sensitivity!$B$9+$M7*Sensitivity!$C$9+$P7*Sensitivity!$D$9)</x:f>
        <x:v>48.8465298955358</x:v>
      </x:c>
      <x:c r="U7" s="27" t="n">
        <x:f>50+10*($L7*Sensitivity!$B$10+$M7*Sensitivity!$C$10+$P7*Sensitivity!$D$10)</x:f>
        <x:v>46.67666410542677</x:v>
      </x:c>
      <x:c r="V7" s="27" t="n">
        <x:f>50+10*($L7*Sensitivity!$B$11+$M7*Sensitivity!$C$11+$P7*Sensitivity!$D$11)</x:f>
        <x:v>47.41677605338949</x:v>
      </x:c>
      <x:c r="W7" s="27" t="n">
        <x:f>50+10*($L7*Sensitivity!$B$12+$M7*Sensitivity!$C$12+$P7*Sensitivity!$D$12)</x:f>
        <x:v>48.123241298832795</x:v>
      </x:c>
      <x:c r="X7" s="27"/>
      <x:c r="Y7" s="27"/>
      <x:c r="Z7" s="27"/>
    </x:row>
    <x:row r="8">
      <x:c r="A8" s="27" t="str">
        <x:v>FLE_adaptive_L02_R03_20261004T155751</x:v>
      </x:c>
      <x:c r="B8" s="27" t="str">
        <x:v>adaptive</x:v>
      </x:c>
      <x:c r="C8" s="27" t="n">
        <x:v>2</x:v>
      </x:c>
      <x:c r="D8" s="27" t="n">
        <x:v>1236</x:v>
      </x:c>
      <x:c r="E8" s="27" t="n">
        <x:v>318</x:v>
      </x:c>
      <x:c r="F8" s="27" t="str">
        <x:v>automation-science-pack, steam-power</x:v>
      </x:c>
      <x:c r="G8" s="27" t="str">
        <x:v>iron-ore, wood, coal, burner-mining-drill, iron-plate, stone, iron-gear-wheel, stone-furnace</x:v>
      </x:c>
      <x:c r="H8" s="27" t="n">
        <x:f>IF(F8="",0,LEN(F8)-LEN(SUBSTITUTE(F8,",",""))+1)</x:f>
        <x:v>2</x:v>
      </x:c>
      <x:c r="I8" s="27" t="n">
        <x:f>IF(G8="",0,LEN(G8)-LEN(SUBSTITUTE(G8,",",""))+1)</x:f>
        <x:v>8</x:v>
      </x:c>
      <x:c r="J8" s="27" t="n">
        <x:f>LN(1+D8)</x:f>
        <x:v>7.1204443723924875</x:v>
      </x:c>
      <x:c r="K8" s="27" t="n">
        <x:f>LN(1+E8)</x:f>
        <x:v>5.765191102784844</x:v>
      </x:c>
      <x:c r="L8" s="27" t="n">
        <x:f>(J8-Method!$C$13)/Method!$D$13</x:f>
        <x:v>-2.074872771326502</x:v>
      </x:c>
      <x:c r="M8" s="27" t="n">
        <x:f>(K8-Method!$C$14)/Method!$D$14</x:f>
        <x:v>-1.638427103162134</x:v>
      </x:c>
      <x:c r="N8" s="27" t="n">
        <x:f>(H8-Method!$C$15)/Method!$D$15</x:f>
        <x:v>-0.2861487676222712</x:v>
      </x:c>
      <x:c r="O8" s="27" t="n">
        <x:f>(I8-Method!$C$16)/Method!$D$16</x:f>
        <x:v>0.7787433434324454</x:v>
      </x:c>
      <x:c r="P8" s="27" t="n">
        <x:f>(N8+O8)/2</x:f>
        <x:v>0.24629728790508712</x:v>
      </x:c>
      <x:c r="Q8" s="27" t="n">
        <x:f>50+10*($L8*Sensitivity!$B$6+$M8*Sensitivity!$C$6+$P8*Sensitivity!$D$6)</x:f>
        <x:v>38.44332471138817</x:v>
      </x:c>
      <x:c r="R8" s="27" t="n">
        <x:f>50+10*($L8*Sensitivity!$B$7+$M8*Sensitivity!$C$7+$P8*Sensitivity!$D$7)</x:f>
        <x:v>36.145311605224876</x:v>
      </x:c>
      <x:c r="S8" s="27" t="n">
        <x:f>50+10*($L8*Sensitivity!$B$8+$M8*Sensitivity!$C$8+$P8*Sensitivity!$D$8)</x:f>
        <x:v>37.236425775635794</x:v>
      </x:c>
      <x:c r="T8" s="27" t="n">
        <x:f>50+10*($L8*Sensitivity!$B$9+$M8*Sensitivity!$C$9+$P8*Sensitivity!$D$9)</x:f>
        <x:v>41.948236753303846</x:v>
      </x:c>
      <x:c r="U8" s="27" t="n">
        <x:f>50+10*($L8*Sensitivity!$B$10+$M8*Sensitivity!$C$10+$P8*Sensitivity!$D$10)</x:f>
        <x:v>35.63939507785563</x:v>
      </x:c>
      <x:c r="V8" s="27" t="n">
        <x:f>50+10*($L8*Sensitivity!$B$11+$M8*Sensitivity!$C$11+$P8*Sensitivity!$D$11)</x:f>
        <x:v>37.52411946892285</x:v>
      </x:c>
      <x:c r="W8" s="27" t="n">
        <x:f>50+10*($L8*Sensitivity!$B$12+$M8*Sensitivity!$C$12+$P8*Sensitivity!$D$12)</x:f>
        <x:v>39.84528952815444</x:v>
      </x:c>
      <x:c r="X8" s="27"/>
      <x:c r="Y8" s="27"/>
      <x:c r="Z8" s="27"/>
    </x:row>
    <x:row r="9">
      <x:c r="A9" s="27" t="str">
        <x:v>FLE_adaptive_L03_R01_20261004T172226</x:v>
      </x:c>
      <x:c r="B9" s="27" t="str">
        <x:v>adaptive</x:v>
      </x:c>
      <x:c r="C9" s="27" t="n">
        <x:v>3</x:v>
      </x:c>
      <x:c r="D9" s="27" t="n">
        <x:v>7616</x:v>
      </x:c>
      <x:c r="E9" s="27" t="n">
        <x:v>2206</x:v>
      </x:c>
      <x:c r="F9" s="27" t="str">
        <x:v>steam-power, automation-science-pack</x:v>
      </x:c>
      <x:c r="G9" s="27" t="str">
        <x:v>coal, iron-plate, stone, stone-furnace, iron-ore, iron-gear-wheel, burner-mining-drill</x:v>
      </x:c>
      <x:c r="H9" s="27" t="n">
        <x:f>IF(F9="",0,LEN(F9)-LEN(SUBSTITUTE(F9,",",""))+1)</x:f>
        <x:v>2</x:v>
      </x:c>
      <x:c r="I9" s="27" t="n">
        <x:f>IF(G9="",0,LEN(G9)-LEN(SUBSTITUTE(G9,",",""))+1)</x:f>
        <x:v>7</x:v>
      </x:c>
      <x:c r="J9" s="27" t="n">
        <x:f>LN(1+D9)</x:f>
        <x:v>8.938137870372788</x:v>
      </x:c>
      <x:c r="K9" s="27" t="n">
        <x:f>LN(1+E9)</x:f>
        <x:v>7.699389406256737</x:v>
      </x:c>
      <x:c r="L9" s="27" t="n">
        <x:f>(J9-Method!$C$13)/Method!$D$13</x:f>
        <x:v>1.5100626809329831</x:v>
      </x:c>
      <x:c r="M9" s="27" t="n">
        <x:f>(K9-Method!$C$14)/Method!$D$14</x:f>
        <x:v>1.2808655015189094</x:v>
      </x:c>
      <x:c r="N9" s="27" t="n">
        <x:f>(H9-Method!$C$15)/Method!$D$15</x:f>
        <x:v>-0.2861487676222712</x:v>
      </x:c>
      <x:c r="O9" s="27" t="n">
        <x:f>(I9-Method!$C$16)/Method!$D$16</x:f>
        <x:v>-0.28454083702339367</x:v>
      </x:c>
      <x:c r="P9" s="27" t="n">
        <x:f>(N9+O9)/2</x:f>
        <x:v>-0.28534480232283244</x:v>
      </x:c>
      <x:c r="Q9" s="27" t="n">
        <x:f>50+10*($L9*Sensitivity!$B$6+$M9*Sensitivity!$C$6+$P9*Sensitivity!$D$6)</x:f>
        <x:v>58.3519446004302</x:v>
      </x:c>
      <x:c r="R9" s="27" t="n">
        <x:f>50+10*($L9*Sensitivity!$B$7+$M9*Sensitivity!$C$7+$P9*Sensitivity!$D$7)</x:f>
        <x:v>60.03911515265511</x:v>
      </x:c>
      <x:c r="S9" s="27" t="n">
        <x:f>50+10*($L9*Sensitivity!$B$8+$M9*Sensitivity!$C$8+$P9*Sensitivity!$D$8)</x:f>
        <x:v>59.46612220411993</x:v>
      </x:c>
      <x:c r="T9" s="27" t="n">
        <x:f>50+10*($L9*Sensitivity!$B$9+$M9*Sensitivity!$C$9+$P9*Sensitivity!$D$9)</x:f>
        <x:v>55.55059644451557</x:v>
      </x:c>
      <x:c r="U9" s="27" t="n">
        <x:f>50+10*($L9*Sensitivity!$B$10+$M9*Sensitivity!$C$10+$P9*Sensitivity!$D$10)</x:f>
        <x:v>60.593023125161906</x:v>
      </x:c>
      <x:c r="V9" s="27" t="n">
        <x:f>50+10*($L9*Sensitivity!$B$11+$M9*Sensitivity!$C$11+$P9*Sensitivity!$D$11)</x:f>
        <x:v>59.02681282132016</x:v>
      </x:c>
      <x:c r="W9" s="27" t="n">
        <x:f>50+10*($L9*Sensitivity!$B$12+$M9*Sensitivity!$C$12+$P9*Sensitivity!$D$12)</x:f>
        <x:v>57.23140533806435</x:v>
      </x:c>
      <x:c r="X9" s="27"/>
      <x:c r="Y9" s="27"/>
      <x:c r="Z9" s="27"/>
    </x:row>
    <x:row r="10">
      <x:c r="A10" s="27" t="str">
        <x:v>FLE_adaptive_L03_R02_20261004T181444</x:v>
      </x:c>
      <x:c r="B10" s="27" t="str">
        <x:v>adaptive</x:v>
      </x:c>
      <x:c r="C10" s="27" t="n">
        <x:v>3</x:v>
      </x:c>
      <x:c r="D10" s="27" t="n">
        <x:v>1609</x:v>
      </x:c>
      <x:c r="E10" s="27" t="n">
        <x:v>441</x:v>
      </x:c>
      <x:c r="F10" s="27" t="str">
        <x:v>automation-science-pack, steam-power</x:v>
      </x:c>
      <x:c r="G10" s="27" t="str">
        <x:v>stone-furnace, burner-mining-drill, iron-plate, iron-gear-wheel, stone, iron-ore, coal</x:v>
      </x:c>
      <x:c r="H10" s="27" t="n">
        <x:f>IF(F10="",0,LEN(F10)-LEN(SUBSTITUTE(F10,",",""))+1)</x:f>
        <x:v>2</x:v>
      </x:c>
      <x:c r="I10" s="27" t="n">
        <x:f>IF(G10="",0,LEN(G10)-LEN(SUBSTITUTE(G10,",",""))+1)</x:f>
        <x:v>7</x:v>
      </x:c>
      <x:c r="J10" s="27" t="n">
        <x:f>LN(1+D10)</x:f>
        <x:v>7.383989457978509</x:v>
      </x:c>
      <x:c r="K10" s="27" t="n">
        <x:f>LN(1+E10)</x:f>
        <x:v>6.091309882077698</x:v>
      </x:c>
      <x:c r="L10" s="27" t="n">
        <x:f>(J10-Method!$C$13)/Method!$D$13</x:f>
        <x:v>-1.5550975057848258</x:v>
      </x:c>
      <x:c r="M10" s="27" t="n">
        <x:f>(K10-Method!$C$14)/Method!$D$14</x:f>
        <x:v>-1.1462148315825713</x:v>
      </x:c>
      <x:c r="N10" s="27" t="n">
        <x:f>(H10-Method!$C$15)/Method!$D$15</x:f>
        <x:v>-0.2861487676222712</x:v>
      </x:c>
      <x:c r="O10" s="27" t="n">
        <x:f>(I10-Method!$C$16)/Method!$D$16</x:f>
        <x:v>-0.28454083702339367</x:v>
      </x:c>
      <x:c r="P10" s="27" t="n">
        <x:f>(N10+O10)/2</x:f>
        <x:v>-0.28534480232283244</x:v>
      </x:c>
      <x:c r="Q10" s="27" t="n">
        <x:f>50+10*($L10*Sensitivity!$B$6+$M10*Sensitivity!$C$6+$P10*Sensitivity!$D$6)</x:f>
        <x:v>40.044476201032566</x:v>
      </x:c>
      <x:c r="R10" s="27" t="n">
        <x:f>50+10*($L10*Sensitivity!$B$7+$M10*Sensitivity!$C$7+$P10*Sensitivity!$D$7)</x:f>
        <x:v>38.64561338631236</x:v>
      </x:c>
      <x:c r="S10" s="27" t="n">
        <x:f>50+10*($L10*Sensitivity!$B$8+$M10*Sensitivity!$C$8+$P10*Sensitivity!$D$8)</x:f>
        <x:v>39.667820071818</x:v>
      </x:c>
      <x:c r="T10" s="27" t="n">
        <x:f>50+10*($L10*Sensitivity!$B$9+$M10*Sensitivity!$C$9+$P10*Sensitivity!$D$9)</x:f>
        <x:v>41.81999514496734</x:v>
      </x:c>
      <x:c r="U10" s="27" t="n">
        <x:f>50+10*($L10*Sensitivity!$B$10+$M10*Sensitivity!$C$10+$P10*Sensitivity!$D$10)</x:f>
        <x:v>38.624061045884744</x:v>
      </x:c>
      <x:c r="V10" s="27" t="n">
        <x:f>50+10*($L10*Sensitivity!$B$11+$M10*Sensitivity!$C$11+$P10*Sensitivity!$D$11)</x:f>
        <x:v>39.48493107514449</x:v>
      </x:c>
      <x:c r="W10" s="27" t="n">
        <x:f>50+10*($L10*Sensitivity!$B$12+$M10*Sensitivity!$C$12+$P10*Sensitivity!$D$12)</x:f>
        <x:v>40.75468377860648</x:v>
      </x:c>
      <x:c r="X10" s="27"/>
      <x:c r="Y10" s="27"/>
      <x:c r="Z10" s="27"/>
    </x:row>
    <x:row r="11">
      <x:c r="A11" s="27" t="str">
        <x:v>FLE_adaptive_L03_R03_20261004T185833</x:v>
      </x:c>
      <x:c r="B11" s="27" t="str">
        <x:v>adaptive</x:v>
      </x:c>
      <x:c r="C11" s="27" t="n">
        <x:v>3</x:v>
      </x:c>
      <x:c r="D11" s="27" t="n">
        <x:v>5835</x:v>
      </x:c>
      <x:c r="E11" s="27" t="n">
        <x:v>1970</x:v>
      </x:c>
      <x:c r="F11" s="27" t="str">
        <x:v>automation-science-pack, steam-power</x:v>
      </x:c>
      <x:c r="G11" s="27" t="str">
        <x:v>coal, iron-plate, burner-mining-drill, stone, iron-gear-wheel, stone-furnace, iron-ore</x:v>
      </x:c>
      <x:c r="H11" s="27" t="n">
        <x:f>IF(F11="",0,LEN(F11)-LEN(SUBSTITUTE(F11,",",""))+1)</x:f>
        <x:v>2</x:v>
      </x:c>
      <x:c r="I11" s="27" t="n">
        <x:f>IF(G11="",0,LEN(G11)-LEN(SUBSTITUTE(G11,",",""))+1)</x:f>
        <x:v>7</x:v>
      </x:c>
      <x:c r="J11" s="27" t="n">
        <x:f>LN(1+D11)</x:f>
        <x:v>8.671800909642677</x:v>
      </x:c>
      <x:c r="K11" s="27" t="n">
        <x:f>LN(1+E11)</x:f>
        <x:v>7.58629630715272</x:v>
      </x:c>
      <x:c r="L11" s="27" t="n">
        <x:f>(J11-Method!$C$13)/Method!$D$13</x:f>
        <x:v>0.9847811558412505</x:v>
      </x:c>
      <x:c r="M11" s="27" t="n">
        <x:f>(K11-Method!$C$14)/Method!$D$14</x:f>
        <x:v>1.11017367159527</x:v>
      </x:c>
      <x:c r="N11" s="27" t="n">
        <x:f>(H11-Method!$C$15)/Method!$D$15</x:f>
        <x:v>-0.2861487676222712</x:v>
      </x:c>
      <x:c r="O11" s="27" t="n">
        <x:f>(I11-Method!$C$16)/Method!$D$16</x:f>
        <x:v>-0.28454083702339367</x:v>
      </x:c>
      <x:c r="P11" s="27" t="n">
        <x:f>(N11+O11)/2</x:f>
        <x:v>-0.28534480232283244</x:v>
      </x:c>
      <x:c r="Q11" s="27" t="n">
        <x:f>50+10*($L11*Sensitivity!$B$6+$M11*Sensitivity!$C$6+$P11*Sensitivity!$D$6)</x:f>
        <x:v>56.032033417045625</x:v>
      </x:c>
      <x:c r="R11" s="27" t="n">
        <x:f>50+10*($L11*Sensitivity!$B$7+$M11*Sensitivity!$C$7+$P11*Sensitivity!$D$7)</x:f>
        <x:v>56.985977952387344</x:v>
      </x:c>
      <x:c r="S11" s="27" t="n">
        <x:f>50+10*($L11*Sensitivity!$B$8+$M11*Sensitivity!$C$8+$P11*Sensitivity!$D$8)</x:f>
        <x:v>57.2994592417724</x:v>
      </x:c>
      <x:c r="T11" s="27" t="n">
        <x:f>50+10*($L11*Sensitivity!$B$9+$M11*Sensitivity!$C$9+$P11*Sensitivity!$D$9)</x:f>
        <x:v>53.81066305697714</x:v>
      </x:c>
      <x:c r="U11" s="27" t="n">
        <x:f>50+10*($L11*Sensitivity!$B$10+$M11*Sensitivity!$C$10+$P11*Sensitivity!$D$10)</x:f>
        <x:v>57.80912970510042</x:v>
      </x:c>
      <x:c r="V11" s="27" t="n">
        <x:f>50+10*($L11*Sensitivity!$B$11+$M11*Sensitivity!$C$11+$P11*Sensitivity!$D$11)</x:f>
        <x:v>56.413611231182315</x:v>
      </x:c>
      <x:c r="W11" s="27" t="n">
        <x:f>50+10*($L11*Sensitivity!$B$12+$M11*Sensitivity!$C$12+$P11*Sensitivity!$D$12)</x:f>
        <x:v>55.14348527301823</x:v>
      </x:c>
      <x:c r="X11" s="27"/>
      <x:c r="Y11" s="27"/>
      <x:c r="Z11" s="27"/>
    </x:row>
    <x:row r="12">
      <x:c r="A12" s="27" t="str">
        <x:v>FLE_adaptive_L04_R01_20261005T072551</x:v>
      </x:c>
      <x:c r="B12" s="27" t="str">
        <x:v>adaptive</x:v>
      </x:c>
      <x:c r="C12" s="27" t="n">
        <x:v>4</x:v>
      </x:c>
      <x:c r="D12" s="27" t="n">
        <x:v>5906</x:v>
      </x:c>
      <x:c r="E12" s="27" t="n">
        <x:v>1811</x:v>
      </x:c>
      <x:c r="F12" s="27" t="str">
        <x:v>steam-power, automation-science-pack</x:v>
      </x:c>
      <x:c r="G12" s="27" t="str">
        <x:v>stone, coal, iron-ore, iron-gear-wheel, iron-plate, burner-mining-drill, stone-furnace</x:v>
      </x:c>
      <x:c r="H12" s="27" t="n">
        <x:f>IF(F12="",0,LEN(F12)-LEN(SUBSTITUTE(F12,",",""))+1)</x:f>
        <x:v>2</x:v>
      </x:c>
      <x:c r="I12" s="27" t="n">
        <x:f>IF(G12="",0,LEN(G12)-LEN(SUBSTITUTE(G12,",",""))+1)</x:f>
        <x:v>7</x:v>
      </x:c>
      <x:c r="J12" s="27" t="n">
        <x:f>LN(1+D12)</x:f>
        <x:v>8.683893367307235</x:v>
      </x:c>
      <x:c r="K12" s="27" t="n">
        <x:f>LN(1+E12)</x:f>
        <x:v>7.502186486602925</x:v>
      </x:c>
      <x:c r="L12" s="27" t="n">
        <x:f>(J12-Method!$C$13)/Method!$D$13</x:f>
        <x:v>1.0086304352906124</x:v>
      </x:c>
      <x:c r="M12" s="27" t="n">
        <x:f>(K12-Method!$C$14)/Method!$D$14</x:f>
        <x:v>0.9832264104631931</x:v>
      </x:c>
      <x:c r="N12" s="27" t="n">
        <x:f>(H12-Method!$C$15)/Method!$D$15</x:f>
        <x:v>-0.2861487676222712</x:v>
      </x:c>
      <x:c r="O12" s="27" t="n">
        <x:f>(I12-Method!$C$16)/Method!$D$16</x:f>
        <x:v>-0.28454083702339367</x:v>
      </x:c>
      <x:c r="P12" s="27" t="n">
        <x:f>(N12+O12)/2</x:f>
        <x:v>-0.28534480232283244</x:v>
      </x:c>
      <x:c r="Q12" s="27" t="n">
        <x:f>50+10*($L12*Sensitivity!$B$6+$M12*Sensitivity!$C$6+$P12*Sensitivity!$D$6)</x:f>
        <x:v>55.688373478103244</x:v>
      </x:c>
      <x:c r="R12" s="27" t="n">
        <x:f>50+10*($L12*Sensitivity!$B$7+$M12*Sensitivity!$C$7+$P12*Sensitivity!$D$7)</x:f>
        <x:v>56.787856196803965</x:v>
      </x:c>
      <x:c r="S12" s="27" t="n">
        <x:f>50+10*($L12*Sensitivity!$B$8+$M12*Sensitivity!$C$8+$P12*Sensitivity!$D$8)</x:f>
        <x:v>56.72434613473541</x:v>
      </x:c>
      <x:c r="T12" s="27" t="n">
        <x:f>50+10*($L12*Sensitivity!$B$9+$M12*Sensitivity!$C$9+$P12*Sensitivity!$D$9)</x:f>
        <x:v>53.55291810277035</x:v>
      </x:c>
      <x:c r="U12" s="27" t="n">
        <x:f>50+10*($L12*Sensitivity!$B$10+$M12*Sensitivity!$C$10+$P12*Sensitivity!$D$10)</x:f>
        <x:v>57.396737778369555</x:v>
      </x:c>
      <x:c r="V12" s="27" t="n">
        <x:f>50+10*($L12*Sensitivity!$B$11+$M12*Sensitivity!$C$11+$P12*Sensitivity!$D$11)</x:f>
        <x:v>56.12816656558353</x:v>
      </x:c>
      <x:c r="W12" s="27" t="n">
        <x:f>50+10*($L12*Sensitivity!$B$12+$M12*Sensitivity!$C$12+$P12*Sensitivity!$D$12)</x:f>
        <x:v>54.83419132797009</x:v>
      </x:c>
      <x:c r="X12" s="27"/>
      <x:c r="Y12" s="27"/>
      <x:c r="Z12" s="27"/>
    </x:row>
    <x:row r="13">
      <x:c r="A13" s="27" t="str">
        <x:v>FLE_adaptive_L04_R02_20261005T081804</x:v>
      </x:c>
      <x:c r="B13" s="27" t="str">
        <x:v>adaptive</x:v>
      </x:c>
      <x:c r="C13" s="27" t="n">
        <x:v>4</x:v>
      </x:c>
      <x:c r="D13" s="27" t="n">
        <x:v>5522</x:v>
      </x:c>
      <x:c r="E13" s="27" t="n">
        <x:v>2179</x:v>
      </x:c>
      <x:c r="F13" s="27" t="str">
        <x:v>steam-power, automation-science-pack</x:v>
      </x:c>
      <x:c r="G13" s="27" t="str">
        <x:v>iron-plate, coal, stone, stone-furnace, iron-gear-wheel, burner-mining-drill, iron-ore, wood</x:v>
      </x:c>
      <x:c r="H13" s="27" t="n">
        <x:f>IF(F13="",0,LEN(F13)-LEN(SUBSTITUTE(F13,",",""))+1)</x:f>
        <x:v>2</x:v>
      </x:c>
      <x:c r="I13" s="27" t="n">
        <x:f>IF(G13="",0,LEN(G13)-LEN(SUBSTITUTE(G13,",",""))+1)</x:f>
        <x:v>8</x:v>
      </x:c>
      <x:c r="J13" s="27" t="n">
        <x:f>LN(1+D13)</x:f>
        <x:v>8.616676469901188</x:v>
      </x:c>
      <x:c r="K13" s="27" t="n">
        <x:f>LN(1+E13)</x:f>
        <x:v>7.687080155783135</x:v>
      </x:c>
      <x:c r="L13" s="27" t="n">
        <x:f>(J13-Method!$C$13)/Method!$D$13</x:f>
        <x:v>0.8760622994802721</x:v>
      </x:c>
      <x:c r="M13" s="27" t="n">
        <x:f>(K13-Method!$C$14)/Method!$D$14</x:f>
        <x:v>1.2622871045612392</x:v>
      </x:c>
      <x:c r="N13" s="27" t="n">
        <x:f>(H13-Method!$C$15)/Method!$D$15</x:f>
        <x:v>-0.2861487676222712</x:v>
      </x:c>
      <x:c r="O13" s="27" t="n">
        <x:f>(I13-Method!$C$16)/Method!$D$16</x:f>
        <x:v>0.7787433434324454</x:v>
      </x:c>
      <x:c r="P13" s="27" t="n">
        <x:f>(N13+O13)/2</x:f>
        <x:v>0.24629728790508712</x:v>
      </x:c>
      <x:c r="Q13" s="27" t="n">
        <x:f>50+10*($L13*Sensitivity!$B$6+$M13*Sensitivity!$C$6+$P13*Sensitivity!$D$6)</x:f>
        <x:v>57.94882230648866</x:v>
      </x:c>
      <x:c r="R13" s="27" t="n">
        <x:f>50+10*($L13*Sensitivity!$B$7+$M13*Sensitivity!$C$7+$P13*Sensitivity!$D$7)</x:f>
        <x:v>58.151772478567175</x:v>
      </x:c>
      <x:c r="S13" s="27" t="n">
        <x:f>50+10*($L13*Sensitivity!$B$8+$M13*Sensitivity!$C$8+$P13*Sensitivity!$D$8)</x:f>
        <x:v>59.117334491269595</x:v>
      </x:c>
      <x:c r="T13" s="27" t="n">
        <x:f>50+10*($L13*Sensitivity!$B$9+$M13*Sensitivity!$C$9+$P13*Sensitivity!$D$9)</x:f>
        <x:v>56.57735994962921</x:v>
      </x:c>
      <x:c r="U13" s="27" t="n">
        <x:f>50+10*($L13*Sensitivity!$B$10+$M13*Sensitivity!$C$10+$P13*Sensitivity!$D$10)</x:f>
        <x:v>59.04599219197622</x:v>
      </x:c>
      <x:c r="V13" s="27" t="n">
        <x:f>50+10*($L13*Sensitivity!$B$11+$M13*Sensitivity!$C$11+$P13*Sensitivity!$D$11)</x:f>
        <x:v>58.030002375320066</x:v>
      </x:c>
      <x:c r="W13" s="27" t="n">
        <x:f>50+10*($L13*Sensitivity!$B$12+$M13*Sensitivity!$C$12+$P13*Sensitivity!$D$12)</x:f>
        <x:v>57.400237363744885</x:v>
      </x:c>
      <x:c r="X13" s="27"/>
      <x:c r="Y13" s="27"/>
      <x:c r="Z13" s="27"/>
    </x:row>
    <x:row r="14">
      <x:c r="A14" s="27" t="str">
        <x:v>FLE_adaptive_L04_R03_20261005T090701</x:v>
      </x:c>
      <x:c r="B14" s="27" t="str">
        <x:v>adaptive</x:v>
      </x:c>
      <x:c r="C14" s="27" t="n">
        <x:v>4</x:v>
      </x:c>
      <x:c r="D14" s="27" t="n">
        <x:v>3522</x:v>
      </x:c>
      <x:c r="E14" s="27" t="n">
        <x:v>938</x:v>
      </x:c>
      <x:c r="F14" s="27" t="str">
        <x:v>steam-power, automation-science-pack</x:v>
      </x:c>
      <x:c r="G14" s="27" t="str">
        <x:v>iron-ore, stone-furnace, coal, stone, burner-mining-drill, iron-gear-wheel, iron-plate</x:v>
      </x:c>
      <x:c r="H14" s="27" t="n">
        <x:f>IF(F14="",0,LEN(F14)-LEN(SUBSTITUTE(F14,",",""))+1)</x:f>
        <x:v>2</x:v>
      </x:c>
      <x:c r="I14" s="27" t="n">
        <x:f>IF(G14="",0,LEN(G14)-LEN(SUBSTITUTE(G14,",",""))+1)</x:f>
        <x:v>7</x:v>
      </x:c>
      <x:c r="J14" s="27" t="n">
        <x:f>LN(1+D14)</x:f>
        <x:v>8.167068178341237</x:v>
      </x:c>
      <x:c r="K14" s="27" t="n">
        <x:f>LN(1+E14)</x:f>
        <x:v>6.844815479208263</x:v>
      </x:c>
      <x:c r="L14" s="27" t="n">
        <x:f>(J14-Method!$C$13)/Method!$D$13</x:f>
        <x:v>-0.010675044210525756</x:v>
      </x:c>
      <x:c r="M14" s="27" t="n">
        <x:f>(K14-Method!$C$14)/Method!$D$14</x:f>
        <x:v>-0.008946065840942074</x:v>
      </x:c>
      <x:c r="N14" s="27" t="n">
        <x:f>(H14-Method!$C$15)/Method!$D$15</x:f>
        <x:v>-0.2861487676222712</x:v>
      </x:c>
      <x:c r="O14" s="27" t="n">
        <x:f>(I14-Method!$C$16)/Method!$D$16</x:f>
        <x:v>-0.28454083702339367</x:v>
      </x:c>
      <x:c r="P14" s="27" t="n">
        <x:f>(N14+O14)/2</x:f>
        <x:v>-0.28534480232283244</x:v>
      </x:c>
      <x:c r="Q14" s="27" t="n">
        <x:f>50+10*($L14*Sensitivity!$B$6+$M14*Sensitivity!$C$6+$P14*Sensitivity!$D$6)</x:f>
        <x:v>48.98344695875233</x:v>
      </x:c>
      <x:c r="R14" s="27" t="n">
        <x:f>50+10*($L14*Sensitivity!$B$7+$M14*Sensitivity!$C$7+$P14*Sensitivity!$D$7)</x:f>
        <x:v>49.210897608537934</x:v>
      </x:c>
      <x:c r="S14" s="27" t="n">
        <x:f>50+10*($L14*Sensitivity!$B$8+$M14*Sensitivity!$C$8+$P14*Sensitivity!$D$8)</x:f>
        <x:v>49.215220054461895</x:v>
      </x:c>
      <x:c r="T14" s="27" t="n">
        <x:f>50+10*($L14*Sensitivity!$B$9+$M14*Sensitivity!$C$9+$P14*Sensitivity!$D$9)</x:f>
        <x:v>48.524223213257166</x:v>
      </x:c>
      <x:c r="U14" s="27" t="n">
        <x:f>50+10*($L14*Sensitivity!$B$10+$M14*Sensitivity!$C$10+$P14*Sensitivity!$D$10)</x:f>
        <x:v>49.350825955148466</x:v>
      </x:c>
      <x:c r="V14" s="27" t="n">
        <x:f>50+10*($L14*Sensitivity!$B$11+$M14*Sensitivity!$C$11+$P14*Sensitivity!$D$11)</x:f>
        <x:v>49.07442721866657</x:v>
      </x:c>
      <x:c r="W14" s="27" t="n">
        <x:f>50+10*($L14*Sensitivity!$B$12+$M14*Sensitivity!$C$12+$P14*Sensitivity!$D$12)</x:f>
        <x:v>48.79975746055427</x:v>
      </x:c>
      <x:c r="X14" s="27"/>
      <x:c r="Y14" s="27"/>
      <x:c r="Z14" s="27"/>
    </x:row>
    <x:row r="15">
      <x:c r="A15" s="27" t="str">
        <x:v>FLE_adaptive_L05_R01_20261006T092109</x:v>
      </x:c>
      <x:c r="B15" s="27" t="str">
        <x:v>adaptive</x:v>
      </x:c>
      <x:c r="C15" s="27" t="n">
        <x:v>5</x:v>
      </x:c>
      <x:c r="D15" s="27" t="n">
        <x:v>4350</x:v>
      </x:c>
      <x:c r="E15" s="27" t="n">
        <x:v>1377</x:v>
      </x:c>
      <x:c r="F15" s="27" t="str">
        <x:v>automation-science-pack, steam-power</x:v>
      </x:c>
      <x:c r="G15" s="27" t="str">
        <x:v>stone, coal, iron-ore, iron-plate, iron-gear-wheel, stone-furnace</x:v>
      </x:c>
      <x:c r="H15" s="27" t="n">
        <x:f>IF(F15="",0,LEN(F15)-LEN(SUBSTITUTE(F15,",",""))+1)</x:f>
        <x:v>2</x:v>
      </x:c>
      <x:c r="I15" s="27" t="n">
        <x:f>IF(G15="",0,LEN(G15)-LEN(SUBSTITUTE(G15,",",""))+1)</x:f>
        <x:v>6</x:v>
      </x:c>
      <x:c r="J15" s="27" t="n">
        <x:f>LN(1+D15)</x:f>
        <x:v>8.37816098272068</x:v>
      </x:c>
      <x:c r="K15" s="27" t="n">
        <x:f>LN(1+E15)</x:f>
        <x:v>7.228388451573604</x:v>
      </x:c>
      <x:c r="L15" s="27" t="n">
        <x:f>(J15-Method!$C$13)/Method!$D$13</x:f>
        <x:v>0.405651514132557</x:v>
      </x:c>
      <x:c r="M15" s="27" t="n">
        <x:f>(K15-Method!$C$14)/Method!$D$14</x:f>
        <x:v>0.5699820304001159</x:v>
      </x:c>
      <x:c r="N15" s="27" t="n">
        <x:f>(H15-Method!$C$15)/Method!$D$15</x:f>
        <x:v>-0.2861487676222712</x:v>
      </x:c>
      <x:c r="O15" s="27" t="n">
        <x:f>(I15-Method!$C$16)/Method!$D$16</x:f>
        <x:v>-1.3478250174792328</x:v>
      </x:c>
      <x:c r="P15" s="27" t="n">
        <x:f>(N15+O15)/2</x:f>
        <x:v>-0.816986892550752</x:v>
      </x:c>
      <x:c r="Q15" s="27" t="n">
        <x:f>50+10*($L15*Sensitivity!$B$6+$M15*Sensitivity!$C$6+$P15*Sensitivity!$D$6)</x:f>
        <x:v>50.52882217327307</x:v>
      </x:c>
      <x:c r="R15" s="27" t="n">
        <x:f>50+10*($L15*Sensitivity!$B$7+$M15*Sensitivity!$C$7+$P15*Sensitivity!$D$7)</x:f>
        <x:v>51.41074541528619</x:v>
      </x:c>
      <x:c r="S15" s="27" t="n">
        <x:f>50+10*($L15*Sensitivity!$B$8+$M15*Sensitivity!$C$8+$P15*Sensitivity!$D$8)</x:f>
        <x:v>51.821571705955094</x:v>
      </x:c>
      <x:c r="T15" s="27" t="n">
        <x:f>50+10*($L15*Sensitivity!$B$9+$M15*Sensitivity!$C$9+$P15*Sensitivity!$D$9)</x:f>
        <x:v>48.354149398577924</x:v>
      </x:c>
      <x:c r="U15" s="27" t="n">
        <x:f>50+10*($L15*Sensitivity!$B$10+$M15*Sensitivity!$C$10+$P15*Sensitivity!$D$10)</x:f>
        <x:v>52.26856039302919</x:v>
      </x:c>
      <x:c r="V15" s="27" t="n">
        <x:f>50+10*($L15*Sensitivity!$B$11+$M15*Sensitivity!$C$11+$P15*Sensitivity!$D$11)</x:f>
        <x:v>50.88159147007832</x:v>
      </x:c>
      <x:c r="W15" s="27" t="n">
        <x:f>50+10*($L15*Sensitivity!$B$12+$M15*Sensitivity!$C$12+$P15*Sensitivity!$D$12)</x:f>
        <x:v>49.65895306339501</x:v>
      </x:c>
      <x:c r="X15" s="27"/>
      <x:c r="Y15" s="27"/>
      <x:c r="Z15" s="27"/>
    </x:row>
    <x:row r="16">
      <x:c r="A16" s="27" t="str">
        <x:v>FLE_adaptive_L05_R02_20261006T101119</x:v>
      </x:c>
      <x:c r="B16" s="27" t="str">
        <x:v>adaptive</x:v>
      </x:c>
      <x:c r="C16" s="27" t="n">
        <x:v>5</x:v>
      </x:c>
      <x:c r="D16" s="27" t="n">
        <x:v>3445</x:v>
      </x:c>
      <x:c r="E16" s="27" t="n">
        <x:v>942</x:v>
      </x:c>
      <x:c r="F16" s="27" t="str">
        <x:v>automation-science-pack, steam-power</x:v>
      </x:c>
      <x:c r="G16" s="27" t="str">
        <x:v>burner-mining-drill, stone, iron-plate, iron-gear-wheel, coal, wood, stone-furnace, iron-ore, wooden-chest</x:v>
      </x:c>
      <x:c r="H16" s="27" t="n">
        <x:f>IF(F16="",0,LEN(F16)-LEN(SUBSTITUTE(F16,",",""))+1)</x:f>
        <x:v>2</x:v>
      </x:c>
      <x:c r="I16" s="27" t="n">
        <x:f>IF(G16="",0,LEN(G16)-LEN(SUBSTITUTE(G16,",",""))+1)</x:f>
        <x:v>9</x:v>
      </x:c>
      <x:c r="J16" s="27" t="n">
        <x:f>LN(1+D16)</x:f>
        <x:v>8.144969417087875</x:v>
      </x:c>
      <x:c r="K16" s="27" t="n">
        <x:f>LN(1+E16)</x:f>
        <x:v>6.849066282633458</x:v>
      </x:c>
      <x:c r="L16" s="27" t="n">
        <x:f>(J16-Method!$C$13)/Method!$D$13</x:f>
        <x:v>-0.05425919784050993</x:v>
      </x:c>
      <x:c r="M16" s="27" t="n">
        <x:f>(K16-Method!$C$14)/Method!$D$14</x:f>
        <x:v>-0.0025303126160277096</x:v>
      </x:c>
      <x:c r="N16" s="27" t="n">
        <x:f>(H16-Method!$C$15)/Method!$D$15</x:f>
        <x:v>-0.2861487676222712</x:v>
      </x:c>
      <x:c r="O16" s="27" t="n">
        <x:f>(I16-Method!$C$16)/Method!$D$16</x:f>
        <x:v>1.8420275238882846</x:v>
      </x:c>
      <x:c r="P16" s="27" t="n">
        <x:f>(N16+O16)/2</x:f>
        <x:v>0.7779393781330067</x:v>
      </x:c>
      <x:c r="Q16" s="27" t="n">
        <x:f>50+10*($L16*Sensitivity!$B$6+$M16*Sensitivity!$C$6+$P16*Sensitivity!$D$6)</x:f>
        <x:v>52.4038328922549</x:v>
      </x:c>
      <x:c r="R16" s="27" t="n">
        <x:f>50+10*($L16*Sensitivity!$B$7+$M16*Sensitivity!$C$7+$P16*Sensitivity!$D$7)</x:f>
        <x:v>51.6672266745899</x:v>
      </x:c>
      <x:c r="S16" s="27" t="n">
        <x:f>50+10*($L16*Sensitivity!$B$8+$M16*Sensitivity!$C$8+$P16*Sensitivity!$D$8)</x:f>
        <x:v>51.796548887651106</x:v>
      </x:c>
      <x:c r="T16" s="27" t="n">
        <x:f>50+10*($L16*Sensitivity!$B$9+$M16*Sensitivity!$C$9+$P16*Sensitivity!$D$9)</x:f>
        <x:v>53.74772311452369</x:v>
      </x:c>
      <x:c r="U16" s="27" t="n">
        <x:f>50+10*($L16*Sensitivity!$B$10+$M16*Sensitivity!$C$10+$P16*Sensitivity!$D$10)</x:f>
        <x:v>51.32872071443986</x:v>
      </x:c>
      <x:c r="V16" s="27" t="n">
        <x:f>50+10*($L16*Sensitivity!$B$11+$M16*Sensitivity!$C$11+$P16*Sensitivity!$D$11)</x:f>
        <x:v>52.1091904051889</x:v>
      </x:c>
      <x:c r="W16" s="27" t="n">
        <x:f>50+10*($L16*Sensitivity!$B$12+$M16*Sensitivity!$C$12+$P16*Sensitivity!$D$12)</x:f>
        <x:v>52.94138898116241</x:v>
      </x:c>
      <x:c r="X16" s="27"/>
      <x:c r="Y16" s="27"/>
      <x:c r="Z16" s="27"/>
    </x:row>
    <x:row r="17">
      <x:c r="A17" s="27" t="str">
        <x:v>FLE_adaptive_L05_R03_20261006T104150</x:v>
      </x:c>
      <x:c r="B17" s="27" t="str">
        <x:v>adaptive</x:v>
      </x:c>
      <x:c r="C17" s="27" t="n">
        <x:v>5</x:v>
      </x:c>
      <x:c r="D17" s="27" t="n">
        <x:v>2773</x:v>
      </x:c>
      <x:c r="E17" s="27" t="n">
        <x:v>692</x:v>
      </x:c>
      <x:c r="F17" s="27" t="str">
        <x:v>automation-science-pack, steam-power</x:v>
      </x:c>
      <x:c r="G17" s="27" t="str">
        <x:v>iron-ore, iron-plate, coal, stone-furnace, iron-gear-wheel, burner-mining-drill, copper-ore, stone</x:v>
      </x:c>
      <x:c r="H17" s="27" t="n">
        <x:f>IF(F17="",0,LEN(F17)-LEN(SUBSTITUTE(F17,",",""))+1)</x:f>
        <x:v>2</x:v>
      </x:c>
      <x:c r="I17" s="27" t="n">
        <x:f>IF(G17="",0,LEN(G17)-LEN(SUBSTITUTE(G17,",",""))+1)</x:f>
        <x:v>8</x:v>
      </x:c>
      <x:c r="J17" s="27" t="n">
        <x:f>LN(1+D17)</x:f>
        <x:v>7.928045600874777</x:v>
      </x:c>
      <x:c r="K17" s="27" t="n">
        <x:f>LN(1+E17)</x:f>
        <x:v>6.541029999189903</x:v>
      </x:c>
      <x:c r="L17" s="27" t="n">
        <x:f>(J17-Method!$C$13)/Method!$D$13</x:f>
        <x:v>-0.48208593543176975</x:v>
      </x:c>
      <x:c r="M17" s="27" t="n">
        <x:f>(K17-Method!$C$14)/Method!$D$14</x:f>
        <x:v>-0.46745060678444306</x:v>
      </x:c>
      <x:c r="N17" s="27" t="n">
        <x:f>(H17-Method!$C$15)/Method!$D$15</x:f>
        <x:v>-0.2861487676222712</x:v>
      </x:c>
      <x:c r="O17" s="27" t="n">
        <x:f>(I17-Method!$C$16)/Method!$D$16</x:f>
        <x:v>0.7787433434324454</x:v>
      </x:c>
      <x:c r="P17" s="27" t="n">
        <x:f>(N17+O17)/2</x:f>
        <x:v>0.24629728790508712</x:v>
      </x:c>
      <x:c r="Q17" s="27" t="n">
        <x:f>50+10*($L17*Sensitivity!$B$6+$M17*Sensitivity!$C$6+$P17*Sensitivity!$D$6)</x:f>
        <x:v>47.65586915229625</x:v>
      </x:c>
      <x:c r="R17" s="27" t="n">
        <x:f>50+10*($L17*Sensitivity!$B$7+$M17*Sensitivity!$C$7+$P17*Sensitivity!$D$7)</x:f>
        <x:v>47.03668702564276</x:v>
      </x:c>
      <x:c r="S17" s="27" t="n">
        <x:f>50+10*($L17*Sensitivity!$B$8+$M17*Sensitivity!$C$8+$P17*Sensitivity!$D$8)</x:f>
        <x:v>47.07327534726108</x:v>
      </x:c>
      <x:c r="T17" s="27" t="n">
        <x:f>50+10*($L17*Sensitivity!$B$9+$M17*Sensitivity!$C$9+$P17*Sensitivity!$D$9)</x:f>
        <x:v>48.857645083984906</x:v>
      </x:c>
      <x:c r="U17" s="27" t="n">
        <x:f>50+10*($L17*Sensitivity!$B$10+$M17*Sensitivity!$C$10+$P17*Sensitivity!$D$10)</x:f>
        <x:v>46.69444840694533</x:v>
      </x:c>
      <x:c r="V17" s="27" t="n">
        <x:f>50+10*($L17*Sensitivity!$B$11+$M17*Sensitivity!$C$11+$P17*Sensitivity!$D$11)</x:f>
        <x:v>47.40819630163485</x:v>
      </x:c>
      <x:c r="W17" s="27" t="n">
        <x:f>50+10*($L17*Sensitivity!$B$12+$M17*Sensitivity!$C$12+$P17*Sensitivity!$D$12)</x:f>
        <x:v>48.13657952497171</x:v>
      </x:c>
      <x:c r="X17" s="27"/>
      <x:c r="Y17" s="27"/>
      <x:c r="Z17" s="27"/>
    </x:row>
    <x:row r="18">
      <x:c r="A18" s="27" t="str">
        <x:v>FLE_adaptive_L06_R01_20261007T080626</x:v>
      </x:c>
      <x:c r="B18" s="27" t="str">
        <x:v>adaptive</x:v>
      </x:c>
      <x:c r="C18" s="27" t="n">
        <x:v>6</x:v>
      </x:c>
      <x:c r="D18" s="27" t="n">
        <x:v>4347</x:v>
      </x:c>
      <x:c r="E18" s="27" t="n">
        <x:v>1536</x:v>
      </x:c>
      <x:c r="F18" s="27" t="str">
        <x:v>automation-science-pack, steam-power</x:v>
      </x:c>
      <x:c r="G18" s="27" t="str">
        <x:v>wooden-chest, coal, burner-mining-drill, iron-gear-wheel, wood, stone, iron-ore, stone-furnace, iron-plate</x:v>
      </x:c>
      <x:c r="H18" s="27" t="n">
        <x:f>IF(F18="",0,LEN(F18)-LEN(SUBSTITUTE(F18,",",""))+1)</x:f>
        <x:v>2</x:v>
      </x:c>
      <x:c r="I18" s="27" t="n">
        <x:f>IF(G18="",0,LEN(G18)-LEN(SUBSTITUTE(G18,",",""))+1)</x:f>
        <x:v>9</x:v>
      </x:c>
      <x:c r="J18" s="27" t="n">
        <x:f>LN(1+D18)</x:f>
        <x:v>8.3774712482411</x:v>
      </x:c>
      <x:c r="K18" s="27" t="n">
        <x:f>LN(1+E18)</x:f>
        <x:v>7.337587743538596</x:v>
      </x:c>
      <x:c r="L18" s="27" t="n">
        <x:f>(J18-Method!$C$13)/Method!$D$13</x:f>
        <x:v>0.40429118930813773</x:v>
      </x:c>
      <x:c r="M18" s="27" t="n">
        <x:f>(K18-Method!$C$14)/Method!$D$14</x:f>
        <x:v>0.7347969229049783</x:v>
      </x:c>
      <x:c r="N18" s="27" t="n">
        <x:f>(H18-Method!$C$15)/Method!$D$15</x:f>
        <x:v>-0.2861487676222712</x:v>
      </x:c>
      <x:c r="O18" s="27" t="n">
        <x:f>(I18-Method!$C$16)/Method!$D$16</x:f>
        <x:v>1.8420275238882846</x:v>
      </x:c>
      <x:c r="P18" s="27" t="n">
        <x:f>(N18+O18)/2</x:f>
        <x:v>0.7779393781330067</x:v>
      </x:c>
      <x:c r="Q18" s="27" t="n">
        <x:f>50+10*($L18*Sensitivity!$B$6+$M18*Sensitivity!$C$6+$P18*Sensitivity!$D$6)</x:f>
        <x:v>56.39009163448708</x:v>
      </x:c>
      <x:c r="R18" s="27" t="n">
        <x:f>50+10*($L18*Sensitivity!$B$7+$M18*Sensitivity!$C$7+$P18*Sensitivity!$D$7)</x:f>
        <x:v>55.80329669913565</x:v>
      </x:c>
      <x:c r="S18" s="27" t="n">
        <x:f>50+10*($L18*Sensitivity!$B$8+$M18*Sensitivity!$C$8+$P18*Sensitivity!$D$8)</x:f>
        <x:v>56.62956103312776</x:v>
      </x:c>
      <x:c r="T18" s="27" t="n">
        <x:f>50+10*($L18*Sensitivity!$B$9+$M18*Sensitivity!$C$9+$P18*Sensitivity!$D$9)</x:f>
        <x:v>56.737417171197826</x:v>
      </x:c>
      <x:c r="U18" s="27" t="n">
        <x:f>50+10*($L18*Sensitivity!$B$10+$M18*Sensitivity!$C$10+$P18*Sensitivity!$D$10)</x:f>
        <x:v>56.112231205118476</x:v>
      </x:c>
      <x:c r="V18" s="27" t="n">
        <x:f>50+10*($L18*Sensitivity!$B$11+$M18*Sensitivity!$C$11+$P18*Sensitivity!$D$11)</x:f>
        <x:v>56.155373660346505</x:v>
      </x:c>
      <x:c r="W18" s="27" t="n">
        <x:f>50+10*($L18*Sensitivity!$B$12+$M18*Sensitivity!$C$12+$P18*Sensitivity!$D$12)</x:f>
        <x:v>56.52902184917138</x:v>
      </x:c>
      <x:c r="X18" s="27"/>
      <x:c r="Y18" s="27"/>
      <x:c r="Z18" s="27"/>
    </x:row>
    <x:row r="19">
      <x:c r="A19" s="27" t="str">
        <x:v>FLE_adaptive_L06_R02_20261007T090137</x:v>
      </x:c>
      <x:c r="B19" s="27" t="str">
        <x:v>adaptive</x:v>
      </x:c>
      <x:c r="C19" s="27" t="n">
        <x:v>6</x:v>
      </x:c>
      <x:c r="D19" s="27" t="n">
        <x:v>4426</x:v>
      </x:c>
      <x:c r="E19" s="27" t="n">
        <x:v>1405</x:v>
      </x:c>
      <x:c r="F19" s="27" t="str">
        <x:v>automation-science-pack, steam-power</x:v>
      </x:c>
      <x:c r="G19" s="27" t="str">
        <x:v>stone, iron-ore, stone-furnace, burner-mining-drill, wood, coal, iron-plate, iron-gear-wheel</x:v>
      </x:c>
      <x:c r="H19" s="27" t="n">
        <x:f>IF(F19="",0,LEN(F19)-LEN(SUBSTITUTE(F19,",",""))+1)</x:f>
        <x:v>2</x:v>
      </x:c>
      <x:c r="I19" s="27" t="n">
        <x:f>IF(G19="",0,LEN(G19)-LEN(SUBSTITUTE(G19,",",""))+1)</x:f>
        <x:v>8</x:v>
      </x:c>
      <x:c r="J19" s="27" t="n">
        <x:f>LN(1+D19)</x:f>
        <x:v>8.395477432732141</x:v>
      </x:c>
      <x:c r="K19" s="27" t="n">
        <x:f>LN(1+E19)</x:f>
        <x:v>7.2485040723706105</x:v>
      </x:c>
      <x:c r="L19" s="27" t="n">
        <x:f>(J19-Method!$C$13)/Method!$D$13</x:f>
        <x:v>0.4398037821702358</x:v>
      </x:c>
      <x:c r="M19" s="27" t="n">
        <x:f>(K19-Method!$C$14)/Method!$D$14</x:f>
        <x:v>0.6003426107634944</x:v>
      </x:c>
      <x:c r="N19" s="27" t="n">
        <x:f>(H19-Method!$C$15)/Method!$D$15</x:f>
        <x:v>-0.2861487676222712</x:v>
      </x:c>
      <x:c r="O19" s="27" t="n">
        <x:f>(I19-Method!$C$16)/Method!$D$16</x:f>
        <x:v>0.7787433434324454</x:v>
      </x:c>
      <x:c r="P19" s="27" t="n">
        <x:f>(N19+O19)/2</x:f>
        <x:v>0.24629728790508712</x:v>
      </x:c>
      <x:c r="Q19" s="27" t="n">
        <x:f>50+10*($L19*Sensitivity!$B$6+$M19*Sensitivity!$C$6+$P19*Sensitivity!$D$6)</x:f>
        <x:v>54.28814560279606</x:v>
      </x:c>
      <x:c r="R19" s="27" t="n">
        <x:f>50+10*($L19*Sensitivity!$B$7+$M19*Sensitivity!$C$7+$P19*Sensitivity!$D$7)</x:f>
        <x:v>54.315618657522634</x:v>
      </x:c>
      <x:c r="S19" s="27" t="n">
        <x:f>50+10*($L19*Sensitivity!$B$8+$M19*Sensitivity!$C$8+$P19*Sensitivity!$D$8)</x:f>
        <x:v>54.71696572900578</x:v>
      </x:c>
      <x:c r="T19" s="27" t="n">
        <x:f>50+10*($L19*Sensitivity!$B$9+$M19*Sensitivity!$C$9+$P19*Sensitivity!$D$9)</x:f>
        <x:v>53.831852421859764</x:v>
      </x:c>
      <x:c r="U19" s="27" t="n">
        <x:f>50+10*($L19*Sensitivity!$B$10+$M19*Sensitivity!$C$10+$P19*Sensitivity!$D$10)</x:f>
        <x:v>54.65318014754509</x:v>
      </x:c>
      <x:c r="V19" s="27" t="n">
        <x:f>50+10*($L19*Sensitivity!$B$11+$M19*Sensitivity!$C$11+$P19*Sensitivity!$D$11)</x:f>
        <x:v>54.29913482468669</x:v>
      </x:c>
      <x:c r="W19" s="27" t="n">
        <x:f>50+10*($L19*Sensitivity!$B$12+$M19*Sensitivity!$C$12+$P19*Sensitivity!$D$12)</x:f>
        <x:v>54.10562833042154</x:v>
      </x:c>
      <x:c r="X19" s="27"/>
      <x:c r="Y19" s="27"/>
      <x:c r="Z19" s="27"/>
    </x:row>
    <x:row r="20">
      <x:c r="A20" s="27" t="str">
        <x:v>FLE_adaptive_L06_R03_20261007T100620</x:v>
      </x:c>
      <x:c r="B20" s="27" t="str">
        <x:v>adaptive</x:v>
      </x:c>
      <x:c r="C20" s="27" t="n">
        <x:v>6</x:v>
      </x:c>
      <x:c r="D20" s="27" t="n">
        <x:v>5733</x:v>
      </x:c>
      <x:c r="E20" s="27" t="n">
        <x:v>1623</x:v>
      </x:c>
      <x:c r="F20" s="27" t="str">
        <x:v>steam-power, automation-science-pack</x:v>
      </x:c>
      <x:c r="G20" s="27" t="str">
        <x:v>coal, iron-plate, stone, stone-furnace, iron-ore, iron-gear-wheel</x:v>
      </x:c>
      <x:c r="H20" s="27" t="n">
        <x:f>IF(F20="",0,LEN(F20)-LEN(SUBSTITUTE(F20,",",""))+1)</x:f>
        <x:v>2</x:v>
      </x:c>
      <x:c r="I20" s="27" t="n">
        <x:f>IF(G20="",0,LEN(G20)-LEN(SUBSTITUTE(G20,",",""))+1)</x:f>
        <x:v>6</x:v>
      </x:c>
      <x:c r="J20" s="27" t="n">
        <x:f>LN(1+D20)</x:f>
        <x:v>8.654168646443315</x:v>
      </x:c>
      <x:c r="K20" s="27" t="n">
        <x:f>LN(1+E20)</x:f>
        <x:v>7.392647520721623</x:v>
      </x:c>
      <x:c r="L20" s="27" t="n">
        <x:f>(J20-Method!$C$13)/Method!$D$13</x:f>
        <x:v>0.950006027076584</x:v>
      </x:c>
      <x:c r="M20" s="27" t="n">
        <x:f>(K20-Method!$C$14)/Method!$D$14</x:f>
        <x:v>0.817898846868657</x:v>
      </x:c>
      <x:c r="N20" s="27" t="n">
        <x:f>(H20-Method!$C$15)/Method!$D$15</x:f>
        <x:v>-0.2861487676222712</x:v>
      </x:c>
      <x:c r="O20" s="27" t="n">
        <x:f>(I20-Method!$C$16)/Method!$D$16</x:f>
        <x:v>-1.3478250174792328</x:v>
      </x:c>
      <x:c r="P20" s="27" t="n">
        <x:f>(N20+O20)/2</x:f>
        <x:v>-0.816986892550752</x:v>
      </x:c>
      <x:c r="Q20" s="27" t="n">
        <x:f>50+10*($L20*Sensitivity!$B$6+$M20*Sensitivity!$C$6+$P20*Sensitivity!$D$6)</x:f>
        <x:v>53.1697266046483</x:v>
      </x:c>
      <x:c r="R20" s="27" t="n">
        <x:f>50+10*($L20*Sensitivity!$B$7+$M20*Sensitivity!$C$7+$P20*Sensitivity!$D$7)</x:f>
        <x:v>54.752310021177685</x:v>
      </x:c>
      <x:c r="S20" s="27" t="n">
        <x:f>50+10*($L20*Sensitivity!$B$8+$M20*Sensitivity!$C$8+$P20*Sensitivity!$D$8)</x:f>
        <x:v>54.42204207065787</x:v>
      </x:c>
      <x:c r="T20" s="27" t="n">
        <x:f>50+10*($L20*Sensitivity!$B$9+$M20*Sensitivity!$C$9+$P20*Sensitivity!$D$9)</x:f>
        <x:v>50.334827722109345</x:v>
      </x:c>
      <x:c r="U20" s="27" t="n">
        <x:f>50+10*($L20*Sensitivity!$B$10+$M20*Sensitivity!$C$10+$P20*Sensitivity!$D$10)</x:f>
        <x:v>55.43764571067946</x:v>
      </x:c>
      <x:c r="V20" s="27" t="n">
        <x:f>50+10*($L20*Sensitivity!$B$11+$M20*Sensitivity!$C$11+$P20*Sensitivity!$D$11)</x:f>
        <x:v>53.80275997126005</x:v>
      </x:c>
      <x:c r="W20" s="27" t="n">
        <x:f>50+10*($L20*Sensitivity!$B$12+$M20*Sensitivity!$C$12+$P20*Sensitivity!$D$12)</x:f>
        <x:v>52.03576705163272</x:v>
      </x:c>
      <x:c r="X20" s="27"/>
      <x:c r="Y20" s="27"/>
      <x:c r="Z20" s="27"/>
    </x:row>
    <x:row r="21">
      <x:c r="A21" s="27" t="str">
        <x:v>FLE_adaptive_L07_R01_20261007T114943</x:v>
      </x:c>
      <x:c r="B21" s="27" t="str">
        <x:v>adaptive</x:v>
      </x:c>
      <x:c r="C21" s="27" t="n">
        <x:v>7</x:v>
      </x:c>
      <x:c r="D21" s="27" t="n">
        <x:v>4928</x:v>
      </x:c>
      <x:c r="E21" s="27" t="n">
        <x:v>1476</x:v>
      </x:c>
      <x:c r="F21" s="27" t="str">
        <x:v>steam-power, automation-science-pack</x:v>
      </x:c>
      <x:c r="G21" s="27" t="str">
        <x:v>stone-furnace, stone, coal, iron-plate, iron-ore</x:v>
      </x:c>
      <x:c r="H21" s="27" t="n">
        <x:f>IF(F21="",0,LEN(F21)-LEN(SUBSTITUTE(F21,",",""))+1)</x:f>
        <x:v>2</x:v>
      </x:c>
      <x:c r="I21" s="27" t="n">
        <x:f>IF(G21="",0,LEN(G21)-LEN(SUBSTITUTE(G21,",",""))+1)</x:f>
        <x:v>5</x:v>
      </x:c>
      <x:c r="J21" s="27" t="n">
        <x:f>LN(1+D21)</x:f>
        <x:v>8.502891406705377</x:v>
      </x:c>
      <x:c r="K21" s="27" t="n">
        <x:f>LN(1+E21)</x:f>
        <x:v>7.29776828253138</x:v>
      </x:c>
      <x:c r="L21" s="27" t="n">
        <x:f>(J21-Method!$C$13)/Method!$D$13</x:f>
        <x:v>0.6516503689532089</x:v>
      </x:c>
      <x:c r="M21" s="27" t="n">
        <x:f>(K21-Method!$C$14)/Method!$D$14</x:f>
        <x:v>0.6746972641305438</x:v>
      </x:c>
      <x:c r="N21" s="27" t="n">
        <x:f>(H21-Method!$C$15)/Method!$D$15</x:f>
        <x:v>-0.2861487676222712</x:v>
      </x:c>
      <x:c r="O21" s="27" t="n">
        <x:f>(I21-Method!$C$16)/Method!$D$16</x:f>
        <x:v>-2.411109197935072</x:v>
      </x:c>
      <x:c r="P21" s="27" t="n">
        <x:f>(N21+O21)/2</x:f>
        <x:v>-1.3486289827786717</x:v>
      </x:c>
      <x:c r="Q21" s="27" t="n">
        <x:f>50+10*($L21*Sensitivity!$B$6+$M21*Sensitivity!$C$6+$P21*Sensitivity!$D$6)</x:f>
        <x:v>49.92572883435027</x:v>
      </x:c>
      <x:c r="R21" s="27" t="n">
        <x:f>50+10*($L21*Sensitivity!$B$7+$M21*Sensitivity!$C$7+$P21*Sensitivity!$D$7)</x:f>
        <x:v>51.57342254814572</x:v>
      </x:c>
      <x:c r="S21" s="27" t="n">
        <x:f>50+10*($L21*Sensitivity!$B$8+$M21*Sensitivity!$C$8+$P21*Sensitivity!$D$8)</x:f>
        <x:v>51.63103978608906</x:v>
      </x:c>
      <x:c r="T21" s="27" t="n">
        <x:f>50+10*($L21*Sensitivity!$B$9+$M21*Sensitivity!$C$9+$P21*Sensitivity!$D$9)</x:f>
        <x:v>46.57272416881602</x:v>
      </x:c>
      <x:c r="U21" s="27" t="n">
        <x:f>50+10*($L21*Sensitivity!$B$10+$M21*Sensitivity!$C$10+$P21*Sensitivity!$D$10)</x:f>
        <x:v>52.60813256677767</x:v>
      </x:c>
      <x:c r="V21" s="27" t="n">
        <x:f>50+10*($L21*Sensitivity!$B$11+$M21*Sensitivity!$C$11+$P21*Sensitivity!$D$11)</x:f>
        <x:v>50.584806319868456</x:v>
      </x:c>
      <x:c r="W21" s="27" t="n">
        <x:f>50+10*($L21*Sensitivity!$B$12+$M21*Sensitivity!$C$12+$P21*Sensitivity!$D$12)</x:f>
        <x:v>48.58452696813657</x:v>
      </x:c>
      <x:c r="X21" s="27"/>
      <x:c r="Y21" s="27"/>
      <x:c r="Z21" s="27"/>
    </x:row>
    <x:row r="22">
      <x:c r="A22" s="27" t="str">
        <x:v>FLE_adaptive_L07_R02_20261007T124555</x:v>
      </x:c>
      <x:c r="B22" s="27" t="str">
        <x:v>adaptive</x:v>
      </x:c>
      <x:c r="C22" s="27" t="n">
        <x:v>7</x:v>
      </x:c>
      <x:c r="D22" s="27" t="n">
        <x:v>6445</x:v>
      </x:c>
      <x:c r="E22" s="27" t="n">
        <x:v>1866</x:v>
      </x:c>
      <x:c r="F22" s="27" t="str">
        <x:v>automation-science-pack, steam-power</x:v>
      </x:c>
      <x:c r="G22" s="27" t="str">
        <x:v>coal, stone, iron-ore, stone-furnace, iron-plate</x:v>
      </x:c>
      <x:c r="H22" s="27" t="n">
        <x:f>IF(F22="",0,LEN(F22)-LEN(SUBSTITUTE(F22,",",""))+1)</x:f>
        <x:v>2</x:v>
      </x:c>
      <x:c r="I22" s="27" t="n">
        <x:f>IF(G22="",0,LEN(G22)-LEN(SUBSTITUTE(G22,",",""))+1)</x:f>
        <x:v>5</x:v>
      </x:c>
      <x:c r="J22" s="27" t="n">
        <x:f>LN(1+D22)</x:f>
        <x:v>8.771215062375383</x:v>
      </x:c>
      <x:c r="K22" s="27" t="n">
        <x:f>LN(1+E22)</x:f>
        <x:v>7.532088143541722</x:v>
      </x:c>
      <x:c r="L22" s="27" t="n">
        <x:f>(J22-Method!$C$13)/Method!$D$13</x:f>
        <x:v>1.1808501416102029</x:v>
      </x:c>
      <x:c r="M22" s="27" t="n">
        <x:f>(K22-Method!$C$14)/Method!$D$14</x:f>
        <x:v>1.0283570911242463</x:v>
      </x:c>
      <x:c r="N22" s="27" t="n">
        <x:f>(H22-Method!$C$15)/Method!$D$15</x:f>
        <x:v>-0.2861487676222712</x:v>
      </x:c>
      <x:c r="O22" s="27" t="n">
        <x:f>(I22-Method!$C$16)/Method!$D$16</x:f>
        <x:v>-2.411109197935072</x:v>
      </x:c>
      <x:c r="P22" s="27" t="n">
        <x:f>(N22+O22)/2</x:f>
        <x:v>-1.3486289827786717</x:v>
      </x:c>
      <x:c r="Q22" s="27" t="n">
        <x:f>50+10*($L22*Sensitivity!$B$6+$M22*Sensitivity!$C$6+$P22*Sensitivity!$D$6)</x:f>
        <x:v>52.86859416651926</x:v>
      </x:c>
      <x:c r="R22" s="27" t="n">
        <x:f>50+10*($L22*Sensitivity!$B$7+$M22*Sensitivity!$C$7+$P22*Sensitivity!$D$7)</x:f>
        <x:v>55.10357097891495</x:v>
      </x:c>
      <x:c r="S22" s="27" t="n">
        <x:f>50+10*($L22*Sensitivity!$B$8+$M22*Sensitivity!$C$8+$P22*Sensitivity!$D$8)</x:f>
        <x:v>54.722338352700056</x:v>
      </x:c>
      <x:c r="T22" s="27" t="n">
        <x:f>50+10*($L22*Sensitivity!$B$9+$M22*Sensitivity!$C$9+$P22*Sensitivity!$D$9)</x:f>
        <x:v>48.77987316794277</x:v>
      </x:c>
      <x:c r="U22" s="27" t="n">
        <x:f>50+10*($L22*Sensitivity!$B$10+$M22*Sensitivity!$C$10+$P22*Sensitivity!$D$10)</x:f>
        <x:v>56.13957096538045</x:v>
      </x:c>
      <x:c r="V22" s="27" t="n">
        <x:f>50+10*($L22*Sensitivity!$B$11+$M22*Sensitivity!$C$11+$P22*Sensitivity!$D$11)</x:f>
        <x:v>53.76258489147754</x:v>
      </x:c>
      <x:c r="W22" s="27" t="n">
        <x:f>50+10*($L22*Sensitivity!$B$12+$M22*Sensitivity!$C$12+$P22*Sensitivity!$D$12)</x:f>
        <x:v>51.23310576708866</x:v>
      </x:c>
      <x:c r="X22" s="27"/>
      <x:c r="Y22" s="27"/>
      <x:c r="Z22" s="27"/>
    </x:row>
    <x:row r="23">
      <x:c r="A23" s="27" t="str">
        <x:v>FLE_adaptive_L07_R03_20261007T135518</x:v>
      </x:c>
      <x:c r="B23" s="27" t="str">
        <x:v>adaptive</x:v>
      </x:c>
      <x:c r="C23" s="27" t="n">
        <x:v>7</x:v>
      </x:c>
      <x:c r="D23" s="27" t="n">
        <x:v>4560</x:v>
      </x:c>
      <x:c r="E23" s="27" t="n">
        <x:v>1439</x:v>
      </x:c>
      <x:c r="F23" s="27" t="str">
        <x:v>automation-science-pack, steam-power</x:v>
      </x:c>
      <x:c r="G23" s="27" t="str">
        <x:v>iron-plate, iron-ore, stone, coal, stone-furnace</x:v>
      </x:c>
      <x:c r="H23" s="27" t="n">
        <x:f>IF(F23="",0,LEN(F23)-LEN(SUBSTITUTE(F23,",",""))+1)</x:f>
        <x:v>2</x:v>
      </x:c>
      <x:c r="I23" s="27" t="n">
        <x:f>IF(G23="",0,LEN(G23)-LEN(SUBSTITUTE(G23,",",""))+1)</x:f>
        <x:v>5</x:v>
      </x:c>
      <x:c r="J23" s="27" t="n">
        <x:f>LN(1+D23)</x:f>
        <x:v>8.4252971767117</x:v>
      </x:c>
      <x:c r="K23" s="27" t="n">
        <x:f>LN(1+E23)</x:f>
        <x:v>7.272398392570047</x:v>
      </x:c>
      <x:c r="L23" s="27" t="n">
        <x:f>(J23-Method!$C$13)/Method!$D$13</x:f>
        <x:v>0.49861559917260906</x:v>
      </x:c>
      <x:c r="M23" s="27" t="n">
        <x:f>(K23-Method!$C$14)/Method!$D$14</x:f>
        <x:v>0.6364063960159606</x:v>
      </x:c>
      <x:c r="N23" s="27" t="n">
        <x:f>(H23-Method!$C$15)/Method!$D$15</x:f>
        <x:v>-0.2861487676222712</x:v>
      </x:c>
      <x:c r="O23" s="27" t="n">
        <x:f>(I23-Method!$C$16)/Method!$D$16</x:f>
        <x:v>-2.411109197935072</x:v>
      </x:c>
      <x:c r="P23" s="27" t="n">
        <x:f>(N23+O23)/2</x:f>
        <x:v>-1.3486289827786717</x:v>
      </x:c>
      <x:c r="Q23" s="27" t="n">
        <x:f>50+10*($L23*Sensitivity!$B$6+$M23*Sensitivity!$C$6+$P23*Sensitivity!$D$6)</x:f>
        <x:v>49.28797670803299</x:v>
      </x:c>
      <x:c r="R23" s="27" t="n">
        <x:f>50+10*($L23*Sensitivity!$B$7+$M23*Sensitivity!$C$7+$P23*Sensitivity!$D$7)</x:f>
        <x:v>50.712521528956266</x:v>
      </x:c>
      <x:c r="S23" s="27" t="n">
        <x:f>50+10*($L23*Sensitivity!$B$8+$M23*Sensitivity!$C$8+$P23*Sensitivity!$D$8)</x:f>
        <x:v>51.05699852106465</x:v>
      </x:c>
      <x:c r="T23" s="27" t="n">
        <x:f>50+10*($L23*Sensitivity!$B$9+$M23*Sensitivity!$C$9+$P23*Sensitivity!$D$9)</x:f>
        <x:v>46.09441007407806</x:v>
      </x:c>
      <x:c r="U23" s="27" t="n">
        <x:f>50+10*($L23*Sensitivity!$B$10+$M23*Sensitivity!$C$10+$P23*Sensitivity!$D$10)</x:f>
        <x:v>51.84283001519694</x:v>
      </x:c>
      <x:c r="V23" s="27" t="n">
        <x:f>50+10*($L23*Sensitivity!$B$11+$M23*Sensitivity!$C$11+$P23*Sensitivity!$D$11)</x:f>
        <x:v>49.8577946364023</x:v>
      </x:c>
      <x:c r="W23" s="27" t="n">
        <x:f>50+10*($L23*Sensitivity!$B$12+$M23*Sensitivity!$C$12+$P23*Sensitivity!$D$12)</x:f>
        <x:v>48.01055005445102</x:v>
      </x:c>
      <x:c r="X23" s="27"/>
      <x:c r="Y23" s="27"/>
      <x:c r="Z23" s="27"/>
    </x:row>
    <x:row r="24">
      <x:c r="A24" s="27" t="str">
        <x:v>FLE_adaptive_L08_R01_20261007T154410</x:v>
      </x:c>
      <x:c r="B24" s="27" t="str">
        <x:v>adaptive</x:v>
      </x:c>
      <x:c r="C24" s="27" t="n">
        <x:v>8</x:v>
      </x:c>
      <x:c r="D24" s="27" t="n">
        <x:v>3358</x:v>
      </x:c>
      <x:c r="E24" s="27" t="n">
        <x:v>837</x:v>
      </x:c>
      <x:c r="F24" s="27" t="str">
        <x:v>steam-power, automation-science-pack</x:v>
      </x:c>
      <x:c r="G24" s="27" t="str">
        <x:v>iron-ore, iron-plate, iron-gear-wheel, wood, stone, coal, burner-mining-drill, stone-furnace</x:v>
      </x:c>
      <x:c r="H24" s="27" t="n">
        <x:f>IF(F24="",0,LEN(F24)-LEN(SUBSTITUTE(F24,",",""))+1)</x:f>
        <x:v>2</x:v>
      </x:c>
      <x:c r="I24" s="27" t="n">
        <x:f>IF(G24="",0,LEN(G24)-LEN(SUBSTITUTE(G24,",",""))+1)</x:f>
        <x:v>8</x:v>
      </x:c>
      <x:c r="J24" s="27" t="n">
        <x:f>LN(1+D24)</x:f>
        <x:v>8.119398589612294</x:v>
      </x:c>
      <x:c r="K24" s="27" t="n">
        <x:f>LN(1+E24)</x:f>
        <x:v>6.731018100482083</x:v>
      </x:c>
      <x:c r="L24" s="27" t="n">
        <x:f>(J24-Method!$C$13)/Method!$D$13</x:f>
        <x:v>-0.10469111392684695</x:v>
      </x:c>
      <x:c r="M24" s="27" t="n">
        <x:f>(K24-Method!$C$14)/Method!$D$14</x:f>
        <x:v>-0.18070086758547435</x:v>
      </x:c>
      <x:c r="N24" s="27" t="n">
        <x:f>(H24-Method!$C$15)/Method!$D$15</x:f>
        <x:v>-0.2861487676222712</x:v>
      </x:c>
      <x:c r="O24" s="27" t="n">
        <x:f>(I24-Method!$C$16)/Method!$D$16</x:f>
        <x:v>0.7787433434324454</x:v>
      </x:c>
      <x:c r="P24" s="27" t="n">
        <x:f>(N24+O24)/2</x:f>
        <x:v>0.24629728790508712</x:v>
      </x:c>
      <x:c r="Q24" s="27" t="n">
        <x:f>50+10*($L24*Sensitivity!$B$6+$M24*Sensitivity!$C$6+$P24*Sensitivity!$D$6)</x:f>
        <x:v>49.86968435464255</x:v>
      </x:c>
      <x:c r="R24" s="27" t="n">
        <x:f>50+10*($L24*Sensitivity!$B$7+$M24*Sensitivity!$C$7+$P24*Sensitivity!$D$7)</x:f>
        <x:v>49.6405354811648</x:v>
      </x:c>
      <x:c r="S24" s="27" t="n">
        <x:f>50+10*($L24*Sensitivity!$B$8+$M24*Sensitivity!$C$8+$P24*Sensitivity!$D$8)</x:f>
        <x:v>49.45051109701823</x:v>
      </x:c>
      <x:c r="T24" s="27" t="n">
        <x:f>50+10*($L24*Sensitivity!$B$9+$M24*Sensitivity!$C$9+$P24*Sensitivity!$D$9)</x:f>
        <x:v>50.518006485744635</x:v>
      </x:c>
      <x:c r="U24" s="27" t="n">
        <x:f>50+10*($L24*Sensitivity!$B$10+$M24*Sensitivity!$C$10+$P24*Sensitivity!$D$10)</x:f>
        <x:v>49.35102664976089</x:v>
      </x:c>
      <x:c r="V24" s="27" t="n">
        <x:f>50+10*($L24*Sensitivity!$B$11+$M24*Sensitivity!$C$11+$P24*Sensitivity!$D$11)</x:f>
        <x:v>49.77802480525145</x:v>
      </x:c>
      <x:c r="W24" s="27" t="n">
        <x:f>50+10*($L24*Sensitivity!$B$12+$M24*Sensitivity!$C$12+$P24*Sensitivity!$D$12)</x:f>
        <x:v>50.12901320708338</x:v>
      </x:c>
      <x:c r="X24" s="27"/>
      <x:c r="Y24" s="27"/>
      <x:c r="Z24" s="27"/>
    </x:row>
    <x:row r="25">
      <x:c r="A25" s="27" t="str">
        <x:v>FLE_adaptive_L08_R02_20261007T165622</x:v>
      </x:c>
      <x:c r="B25" s="27" t="str">
        <x:v>adaptive</x:v>
      </x:c>
      <x:c r="C25" s="27" t="n">
        <x:v>8</x:v>
      </x:c>
      <x:c r="D25" s="27" t="n">
        <x:v>4922</x:v>
      </x:c>
      <x:c r="E25" s="27" t="n">
        <x:v>1341</x:v>
      </x:c>
      <x:c r="F25" s="27" t="str">
        <x:v>automation-science-pack, steam-power</x:v>
      </x:c>
      <x:c r="G25" s="27" t="str">
        <x:v>stone, burner-mining-drill, stone-furnace, coal, iron-gear-wheel, iron-plate, iron-ore</x:v>
      </x:c>
      <x:c r="H25" s="27" t="n">
        <x:f>IF(F25="",0,LEN(F25)-LEN(SUBSTITUTE(F25,",",""))+1)</x:f>
        <x:v>2</x:v>
      </x:c>
      <x:c r="I25" s="27" t="n">
        <x:f>IF(G25="",0,LEN(G25)-LEN(SUBSTITUTE(G25,",",""))+1)</x:f>
        <x:v>7</x:v>
      </x:c>
      <x:c r="J25" s="27" t="n">
        <x:f>LN(1+D25)</x:f>
        <x:v>8.5016733797582</x:v>
      </x:c>
      <x:c r="K25" s="27" t="n">
        <x:f>LN(1+E25)</x:f>
        <x:v>7.201916317531627</x:v>
      </x:c>
      <x:c r="L25" s="27" t="n">
        <x:f>(J25-Method!$C$13)/Method!$D$13</x:f>
        <x:v>0.6492481223755584</x:v>
      </x:c>
      <x:c r="M25" s="27" t="n">
        <x:f>(K25-Method!$C$14)/Method!$D$14</x:f>
        <x:v>0.5300275412455394</x:v>
      </x:c>
      <x:c r="N25" s="27" t="n">
        <x:f>(H25-Method!$C$15)/Method!$D$15</x:f>
        <x:v>-0.2861487676222712</x:v>
      </x:c>
      <x:c r="O25" s="27" t="n">
        <x:f>(I25-Method!$C$16)/Method!$D$16</x:f>
        <x:v>-0.28454083702339367</x:v>
      </x:c>
      <x:c r="P25" s="27" t="n">
        <x:f>(N25+O25)/2</x:f>
        <x:v>-0.28534480232283244</x:v>
      </x:c>
      <x:c r="Q25" s="27" t="n">
        <x:f>50+10*($L25*Sensitivity!$B$6+$M25*Sensitivity!$C$6+$P25*Sensitivity!$D$6)</x:f>
        <x:v>52.979769537660886</x:v>
      </x:c>
      <x:c r="R25" s="27" t="n">
        <x:f>50+10*($L25*Sensitivity!$B$7+$M25*Sensitivity!$C$7+$P25*Sensitivity!$D$7)</x:f>
        <x:v>53.85794745918456</x:v>
      </x:c>
      <x:c r="S25" s="27" t="n">
        <x:f>50+10*($L25*Sensitivity!$B$8+$M25*Sensitivity!$C$8+$P25*Sensitivity!$D$8)</x:f>
        <x:v>53.55989600635951</x:v>
      </x:c>
      <x:c r="T25" s="27" t="n">
        <x:f>50+10*($L25*Sensitivity!$B$9+$M25*Sensitivity!$C$9+$P25*Sensitivity!$D$9)</x:f>
        <x:v>51.52146514743858</x:v>
      </x:c>
      <x:c r="U25" s="27" t="n">
        <x:f>50+10*($L25*Sensitivity!$B$10+$M25*Sensitivity!$C$10+$P25*Sensitivity!$D$10)</x:f>
        <x:v>54.14641304983873</x:v>
      </x:c>
      <x:c r="V25" s="27" t="n">
        <x:f>50+10*($L25*Sensitivity!$B$11+$M25*Sensitivity!$C$11+$P25*Sensitivity!$D$11)</x:f>
        <x:v>53.33104070627036</x:v>
      </x:c>
      <x:c r="W25" s="27" t="n">
        <x:f>50+10*($L25*Sensitivity!$B$12+$M25*Sensitivity!$C$12+$P25*Sensitivity!$D$12)</x:f>
        <x:v>52.396447781571965</x:v>
      </x:c>
      <x:c r="X25" s="27"/>
      <x:c r="Y25" s="27"/>
      <x:c r="Z25" s="27"/>
    </x:row>
    <x:row r="26">
      <x:c r="A26" s="27" t="str">
        <x:v>FLE_adaptive_L08_R03_20261007T174934</x:v>
      </x:c>
      <x:c r="B26" s="27" t="str">
        <x:v>adaptive</x:v>
      </x:c>
      <x:c r="C26" s="27" t="n">
        <x:v>8</x:v>
      </x:c>
      <x:c r="D26" s="27" t="n">
        <x:v>1762</x:v>
      </x:c>
      <x:c r="E26" s="27" t="n">
        <x:v>650</x:v>
      </x:c>
      <x:c r="F26" s="27" t="str">
        <x:v>steam-power, automation-science-pack</x:v>
      </x:c>
      <x:c r="G26" s="27" t="str">
        <x:v>wood, iron-plate, wooden-chest, stone, iron-ore, iron-gear-wheel, burner-mining-drill, stone-furnace, coal</x:v>
      </x:c>
      <x:c r="H26" s="27" t="n">
        <x:f>IF(F26="",0,LEN(F26)-LEN(SUBSTITUTE(F26,",",""))+1)</x:f>
        <x:v>2</x:v>
      </x:c>
      <x:c r="I26" s="27" t="n">
        <x:f>IF(G26="",0,LEN(G26)-LEN(SUBSTITUTE(G26,",",""))+1)</x:f>
        <x:v>9</x:v>
      </x:c>
      <x:c r="J26" s="27" t="n">
        <x:f>LN(1+D26)</x:f>
        <x:v>7.47477218239787</x:v>
      </x:c>
      <x:c r="K26" s="27" t="n">
        <x:f>LN(1+E26)</x:f>
        <x:v>6.478509642208569</x:v>
      </x:c>
      <x:c r="L26" s="27" t="n">
        <x:f>(J26-Method!$C$13)/Method!$D$13</x:f>
        <x:v>-1.3760518044136716</x:v>
      </x:c>
      <x:c r="M26" s="27" t="n">
        <x:f>(K26-Method!$C$14)/Method!$D$14</x:f>
        <x:v>-0.5618128112440441</x:v>
      </x:c>
      <x:c r="N26" s="27" t="n">
        <x:f>(H26-Method!$C$15)/Method!$D$15</x:f>
        <x:v>-0.2861487676222712</x:v>
      </x:c>
      <x:c r="O26" s="27" t="n">
        <x:f>(I26-Method!$C$16)/Method!$D$16</x:f>
        <x:v>1.8420275238882846</x:v>
      </x:c>
      <x:c r="P26" s="27" t="n">
        <x:f>(N26+O26)/2</x:f>
        <x:v>0.7779393781330067</x:v>
      </x:c>
      <x:c r="Q26" s="27" t="n">
        <x:f>50+10*($L26*Sensitivity!$B$6+$M26*Sensitivity!$C$6+$P26*Sensitivity!$D$6)</x:f>
        <x:v>46.1335825415843</x:v>
      </x:c>
      <x:c r="R26" s="27" t="n">
        <x:f>50+10*($L26*Sensitivity!$B$7+$M26*Sensitivity!$C$7+$P26*Sensitivity!$D$7)</x:f>
        <x:v>43.66005739515405</x:v>
      </x:c>
      <x:c r="S26" s="27" t="n">
        <x:f>50+10*($L26*Sensitivity!$B$8+$M26*Sensitivity!$C$8+$P26*Sensitivity!$D$8)</x:f>
        <x:v>45.695654878078116</x:v>
      </x:c>
      <x:c r="T26" s="27" t="n">
        <x:f>50+10*($L26*Sensitivity!$B$9+$M26*Sensitivity!$C$9+$P26*Sensitivity!$D$9)</x:f>
        <x:v>49.045035351520745</x:v>
      </x:c>
      <x:c r="U26" s="27" t="n">
        <x:f>50+10*($L26*Sensitivity!$B$10+$M26*Sensitivity!$C$10+$P26*Sensitivity!$D$10)</x:f>
        <x:v>43.804420293635154</x:v>
      </x:c>
      <x:c r="V26" s="27" t="n">
        <x:f>50+10*($L26*Sensitivity!$B$11+$M26*Sensitivity!$C$11+$P26*Sensitivity!$D$11)</x:f>
        <x:v>45.1441724830122</x:v>
      </x:c>
      <x:c r="W26" s="27" t="n">
        <x:f>50+10*($L26*Sensitivity!$B$12+$M26*Sensitivity!$C$12+$P26*Sensitivity!$D$12)</x:f>
        <x:v>47.29816366555888</x:v>
      </x:c>
      <x:c r="X26" s="27"/>
      <x:c r="Y26" s="27"/>
      <x:c r="Z26" s="27"/>
    </x:row>
    <x:row r="27">
      <x:c r="A27" s="27" t="str">
        <x:v>FLE_adaptive_L09_R01_20261008T143201</x:v>
      </x:c>
      <x:c r="B27" s="27" t="str">
        <x:v>adaptive</x:v>
      </x:c>
      <x:c r="C27" s="27" t="n">
        <x:v>9</x:v>
      </x:c>
      <x:c r="D27" s="27" t="n">
        <x:v>3774</x:v>
      </x:c>
      <x:c r="E27" s="27" t="n">
        <x:v>1043</x:v>
      </x:c>
      <x:c r="F27" s="27" t="str">
        <x:v>automation-science-pack, steam-power</x:v>
      </x:c>
      <x:c r="G27" s="27" t="str">
        <x:v>burner-mining-drill, coal, iron-chest, iron-ore, stone, iron-plate, stone-furnace, iron-gear-wheel</x:v>
      </x:c>
      <x:c r="H27" s="27" t="n">
        <x:f>IF(F27="",0,LEN(F27)-LEN(SUBSTITUTE(F27,",",""))+1)</x:f>
        <x:v>2</x:v>
      </x:c>
      <x:c r="I27" s="27" t="n">
        <x:f>IF(G27="",0,LEN(G27)-LEN(SUBSTITUTE(G27,",",""))+1)</x:f>
        <x:v>8</x:v>
      </x:c>
      <x:c r="J27" s="27" t="n">
        <x:f>LN(1+D27)</x:f>
        <x:v>8.236155661683124</x:v>
      </x:c>
      <x:c r="K27" s="27" t="n">
        <x:f>LN(1+E27)</x:f>
        <x:v>6.950814768442584</x:v>
      </x:c>
      <x:c r="L27" s="27" t="n">
        <x:f>(J27-Method!$C$13)/Method!$D$13</x:f>
        <x:v>0.1255823438556782</x:v>
      </x:c>
      <x:c r="M27" s="27" t="n">
        <x:f>(K27-Method!$C$14)/Method!$D$14</x:f>
        <x:v>0.15103905078735202</x:v>
      </x:c>
      <x:c r="N27" s="27" t="n">
        <x:f>(H27-Method!$C$15)/Method!$D$15</x:f>
        <x:v>-0.2861487676222712</x:v>
      </x:c>
      <x:c r="O27" s="27" t="n">
        <x:f>(I27-Method!$C$16)/Method!$D$16</x:f>
        <x:v>0.7787433434324454</x:v>
      </x:c>
      <x:c r="P27" s="27" t="n">
        <x:f>(N27+O27)/2</x:f>
        <x:v>0.24629728790508712</x:v>
      </x:c>
      <x:c r="Q27" s="27" t="n">
        <x:f>50+10*($L27*Sensitivity!$B$6+$M27*Sensitivity!$C$6+$P27*Sensitivity!$D$6)</x:f>
        <x:v>51.74306227516039</x:v>
      </x:c>
      <x:c r="R27" s="27" t="n">
        <x:f>50+10*($L27*Sensitivity!$B$7+$M27*Sensitivity!$C$7+$P27*Sensitivity!$D$7)</x:f>
        <x:v>51.62125256600949</x:v>
      </x:c>
      <x:c r="S27" s="27" t="n">
        <x:f>50+10*($L27*Sensitivity!$B$8+$M27*Sensitivity!$C$8+$P27*Sensitivity!$D$8)</x:f>
        <x:v>51.684894333338676</x:v>
      </x:c>
      <x:c r="T27" s="27" t="n">
        <x:f>50+10*($L27*Sensitivity!$B$9+$M27*Sensitivity!$C$9+$P27*Sensitivity!$D$9)</x:f>
        <x:v>51.92303992613301</x:v>
      </x:c>
      <x:c r="U27" s="27" t="n">
        <x:f>50+10*($L27*Sensitivity!$B$10+$M27*Sensitivity!$C$10+$P27*Sensitivity!$D$10)</x:f>
        <x:v>51.59908015438229</x:v>
      </x:c>
      <x:c r="V27" s="27" t="n">
        <x:f>50+10*($L27*Sensitivity!$B$11+$M27*Sensitivity!$C$11+$P27*Sensitivity!$D$11)</x:f>
        <x:v>51.69433839150003</x:v>
      </x:c>
      <x:c r="W27" s="27" t="n">
        <x:f>50+10*($L27*Sensitivity!$B$12+$M27*Sensitivity!$C$12+$P27*Sensitivity!$D$12)</x:f>
        <x:v>51.815053335549436</x:v>
      </x:c>
      <x:c r="X27" s="27"/>
      <x:c r="Y27" s="27"/>
      <x:c r="Z27" s="27"/>
    </x:row>
    <x:row r="28">
      <x:c r="A28" s="27" t="str">
        <x:v>FLE_adaptive_L09_R02_20261008T160327</x:v>
      </x:c>
      <x:c r="B28" s="27" t="str">
        <x:v>adaptive</x:v>
      </x:c>
      <x:c r="C28" s="27" t="n">
        <x:v>9</x:v>
      </x:c>
      <x:c r="D28" s="27" t="n">
        <x:v>5083</x:v>
      </x:c>
      <x:c r="E28" s="27" t="n">
        <x:v>1806</x:v>
      </x:c>
      <x:c r="F28" s="27" t="str">
        <x:v>steam-power, automation-science-pack</x:v>
      </x:c>
      <x:c r="G28" s="27" t="str">
        <x:v>coal, iron-plate, iron-ore, stone-furnace, stone</x:v>
      </x:c>
      <x:c r="H28" s="27" t="n">
        <x:f>IF(F28="",0,LEN(F28)-LEN(SUBSTITUTE(F28,",",""))+1)</x:f>
        <x:v>2</x:v>
      </x:c>
      <x:c r="I28" s="27" t="n">
        <x:f>IF(G28="",0,LEN(G28)-LEN(SUBSTITUTE(G28,",",""))+1)</x:f>
        <x:v>5</x:v>
      </x:c>
      <x:c r="J28" s="27" t="n">
        <x:f>LN(1+D28)</x:f>
        <x:v>8.533853632309345</x:v>
      </x:c>
      <x:c r="K28" s="27" t="n">
        <x:f>LN(1+E28)</x:f>
        <x:v>7.499423290592229</x:v>
      </x:c>
      <x:c r="L28" s="27" t="n">
        <x:f>(J28-Method!$C$13)/Method!$D$13</x:f>
        <x:v>0.7127154387088387</x:v>
      </x:c>
      <x:c r="M28" s="27" t="n">
        <x:f>(K28-Method!$C$14)/Method!$D$14</x:f>
        <x:v>0.9790559085736864</x:v>
      </x:c>
      <x:c r="N28" s="27" t="n">
        <x:f>(H28-Method!$C$15)/Method!$D$15</x:f>
        <x:v>-0.2861487676222712</x:v>
      </x:c>
      <x:c r="O28" s="27" t="n">
        <x:f>(I28-Method!$C$16)/Method!$D$16</x:f>
        <x:v>-2.411109197935072</x:v>
      </x:c>
      <x:c r="P28" s="27" t="n">
        <x:f>(N28+O28)/2</x:f>
        <x:v>-1.3486289827786717</x:v>
      </x:c>
      <x:c r="Q28" s="27" t="n">
        <x:f>50+10*($L28*Sensitivity!$B$6+$M28*Sensitivity!$C$6+$P28*Sensitivity!$D$6)</x:f>
        <x:v>51.14380788167951</x:v>
      </x:c>
      <x:c r="R28" s="27" t="n">
        <x:f>50+10*($L28*Sensitivity!$B$7+$M28*Sensitivity!$C$7+$P28*Sensitivity!$D$7)</x:f>
        <x:v>52.63964450803173</x:v>
      </x:c>
      <x:c r="S28" s="27" t="n">
        <x:f>50+10*($L28*Sensitivity!$B$8+$M28*Sensitivity!$C$8+$P28*Sensitivity!$D$8)</x:f>
        <x:v>53.30549568269385</x:v>
      </x:c>
      <x:c r="T28" s="27" t="n">
        <x:f>50+10*($L28*Sensitivity!$B$9+$M28*Sensitivity!$C$9+$P28*Sensitivity!$D$9)</x:f>
        <x:v>47.486283454312954</x:v>
      </x:c>
      <x:c r="U28" s="27" t="n">
        <x:f>50+10*($L28*Sensitivity!$B$10+$M28*Sensitivity!$C$10+$P28*Sensitivity!$D$10)</x:f>
        <x:v>54.06982742357276</x:v>
      </x:c>
      <x:c r="V28" s="27" t="n">
        <x:f>50+10*($L28*Sensitivity!$B$11+$M28*Sensitivity!$C$11+$P28*Sensitivity!$D$11)</x:f>
        <x:v>51.7421425322204</x:v>
      </x:c>
      <x:c r="W28" s="27" t="n">
        <x:f>50+10*($L28*Sensitivity!$B$12+$M28*Sensitivity!$C$12+$P28*Sensitivity!$D$12)</x:f>
        <x:v>49.68079811073289</x:v>
      </x:c>
      <x:c r="X28" s="27"/>
      <x:c r="Y28" s="27"/>
      <x:c r="Z28" s="27"/>
    </x:row>
    <x:row r="29">
      <x:c r="A29" s="27" t="str">
        <x:v>FLE_adaptive_L09_R03_20261008T170456</x:v>
      </x:c>
      <x:c r="B29" s="27" t="str">
        <x:v>adaptive</x:v>
      </x:c>
      <x:c r="C29" s="27" t="n">
        <x:v>9</x:v>
      </x:c>
      <x:c r="D29" s="27" t="n">
        <x:v>2631</x:v>
      </x:c>
      <x:c r="E29" s="27" t="n">
        <x:v>887</x:v>
      </x:c>
      <x:c r="F29" s="27" t="str">
        <x:v>automation-science-pack, steam-power</x:v>
      </x:c>
      <x:c r="G29" s="27" t="str">
        <x:v>wood, coal, iron-gear-wheel, burner-mining-drill, wooden-chest, iron-ore, stone, iron-plate, stone-furnace</x:v>
      </x:c>
      <x:c r="H29" s="27" t="n">
        <x:f>IF(F29="",0,LEN(F29)-LEN(SUBSTITUTE(F29,",",""))+1)</x:f>
        <x:v>2</x:v>
      </x:c>
      <x:c r="I29" s="27" t="n">
        <x:f>IF(G29="",0,LEN(G29)-LEN(SUBSTITUTE(G29,",",""))+1)</x:f>
        <x:v>9</x:v>
      </x:c>
      <x:c r="J29" s="27" t="n">
        <x:f>LN(1+D29)</x:f>
        <x:v>7.875499292445208</x:v>
      </x:c>
      <x:c r="K29" s="27" t="n">
        <x:f>LN(1+E29)</x:f>
        <x:v>6.78897174299217</x:v>
      </x:c>
      <x:c r="L29" s="27" t="n">
        <x:f>(J29-Method!$C$13)/Method!$D$13</x:f>
        <x:v>-0.5857200872752084</x:v>
      </x:c>
      <x:c r="M29" s="27" t="n">
        <x:f>(K29-Method!$C$14)/Method!$D$14</x:f>
        <x:v>-0.0932312220530894</x:v>
      </x:c>
      <x:c r="N29" s="27" t="n">
        <x:f>(H29-Method!$C$15)/Method!$D$15</x:f>
        <x:v>-0.2861487676222712</x:v>
      </x:c>
      <x:c r="O29" s="27" t="n">
        <x:f>(I29-Method!$C$16)/Method!$D$16</x:f>
        <x:v>1.8420275238882846</x:v>
      </x:c>
      <x:c r="P29" s="27" t="n">
        <x:f>(N29+O29)/2</x:f>
        <x:v>0.7779393781330067</x:v>
      </x:c>
      <x:c r="Q29" s="27" t="n">
        <x:f>50+10*($L29*Sensitivity!$B$6+$M29*Sensitivity!$C$6+$P29*Sensitivity!$D$6)</x:f>
        <x:v>50.32996022934903</x:v>
      </x:c>
      <x:c r="R29" s="27" t="n">
        <x:f>50+10*($L29*Sensitivity!$B$7+$M29*Sensitivity!$C$7+$P29*Sensitivity!$D$7)</x:f>
        <x:v>48.78316995382375</x:v>
      </x:c>
      <x:c r="S29" s="27" t="n">
        <x:f>50+10*($L29*Sensitivity!$B$8+$M29*Sensitivity!$C$8+$P29*Sensitivity!$D$8)</x:f>
        <x:v>50.01439211687905</x:v>
      </x:c>
      <x:c r="T29" s="27" t="n">
        <x:f>50+10*($L29*Sensitivity!$B$9+$M29*Sensitivity!$C$9+$P29*Sensitivity!$D$9)</x:f>
        <x:v>52.19231861734429</x:v>
      </x:c>
      <x:c r="U29" s="27" t="n">
        <x:f>50+10*($L29*Sensitivity!$B$10+$M29*Sensitivity!$C$10+$P29*Sensitivity!$D$10)</x:f>
        <x:v>48.84007351895282</x:v>
      </x:c>
      <x:c r="V29" s="27" t="n">
        <x:f>50+10*($L29*Sensitivity!$B$11+$M29*Sensitivity!$C$11+$P29*Sensitivity!$D$11)</x:f>
        <x:v>49.71124411913892</x:v>
      </x:c>
      <x:c r="W29" s="27" t="n">
        <x:f>50+10*($L29*Sensitivity!$B$12+$M29*Sensitivity!$C$12+$P29*Sensitivity!$D$12)</x:f>
        <x:v>51.07490358454714</x:v>
      </x:c>
      <x:c r="X29" s="27"/>
      <x:c r="Y29" s="27"/>
      <x:c r="Z29" s="27"/>
    </x:row>
    <x:row r="30">
      <x:c r="A30" s="27" t="str">
        <x:v>FLE_adaptive_L10_R01_20261009T102707</x:v>
      </x:c>
      <x:c r="B30" s="27" t="str">
        <x:v>adaptive</x:v>
      </x:c>
      <x:c r="C30" s="27" t="n">
        <x:v>10</x:v>
      </x:c>
      <x:c r="D30" s="27" t="n">
        <x:v>4943</x:v>
      </x:c>
      <x:c r="E30" s="27" t="n">
        <x:v>1621</x:v>
      </x:c>
      <x:c r="F30" s="27" t="str">
        <x:v>steam-power, automation-science-pack, electronics</x:v>
      </x:c>
      <x:c r="G30" s="27" t="str">
        <x:v>iron-plate, stone-furnace, copper-ore, iron-ore, copper-plate, coal, stone</x:v>
      </x:c>
      <x:c r="H30" s="27" t="n">
        <x:f>IF(F30="",0,LEN(F30)-LEN(SUBSTITUTE(F30,",",""))+1)</x:f>
        <x:v>3</x:v>
      </x:c>
      <x:c r="I30" s="27" t="n">
        <x:f>IF(G30="",0,LEN(G30)-LEN(SUBSTITUTE(G30,",",""))+1)</x:f>
        <x:v>7</x:v>
      </x:c>
      <x:c r="J30" s="27" t="n">
        <x:f>LN(1+D30)</x:f>
        <x:v>8.505929999137527</x:v>
      </x:c>
      <x:c r="K30" s="27" t="n">
        <x:f>LN(1+E30)</x:f>
        <x:v>7.3914152346753585</x:v>
      </x:c>
      <x:c r="L30" s="27" t="n">
        <x:f>(J30-Method!$C$13)/Method!$D$13</x:f>
        <x:v>0.6576432152427977</x:v>
      </x:c>
      <x:c r="M30" s="27" t="n">
        <x:f>(K30-Method!$C$14)/Method!$D$14</x:f>
        <x:v>0.8160389530122436</x:v>
      </x:c>
      <x:c r="N30" s="27" t="n">
        <x:f>(H30-Method!$C$15)/Method!$D$15</x:f>
        <x:v>2.6162173039750547</x:v>
      </x:c>
      <x:c r="O30" s="27" t="n">
        <x:f>(I30-Method!$C$16)/Method!$D$16</x:f>
        <x:v>-0.28454083702339367</x:v>
      </x:c>
      <x:c r="P30" s="27" t="n">
        <x:f>(N30+O30)/2</x:f>
        <x:v>1.1658382334758306</x:v>
      </x:c>
      <x:c r="Q30" s="27" t="n">
        <x:f>50+10*($L30*Sensitivity!$B$6+$M30*Sensitivity!$C$6+$P30*Sensitivity!$D$6)</x:f>
        <x:v>58.79840133910291</x:v>
      </x:c>
      <x:c r="R30" s="27" t="n">
        <x:f>50+10*($L30*Sensitivity!$B$7+$M30*Sensitivity!$C$7+$P30*Sensitivity!$D$7)</x:f>
        <x:v>58.24290904243418</x:v>
      </x:c>
      <x:c r="S30" s="27" t="n">
        <x:f>50+10*($L30*Sensitivity!$B$8+$M30*Sensitivity!$C$8+$P30*Sensitivity!$D$8)</x:f>
        <x:v>58.63889838685779</x:v>
      </x:c>
      <x:c r="T30" s="27" t="n">
        <x:f>50+10*($L30*Sensitivity!$B$9+$M30*Sensitivity!$C$9+$P30*Sensitivity!$D$9)</x:f>
        <x:v>59.513396588016754</x:v>
      </x:c>
      <x:c r="U30" s="27" t="n">
        <x:f>50+10*($L30*Sensitivity!$B$10+$M30*Sensitivity!$C$10+$P30*Sensitivity!$D$10)</x:f>
        <x:v>58.226405139971824</x:v>
      </x:c>
      <x:c r="V30" s="27" t="n">
        <x:f>50+10*($L30*Sensitivity!$B$11+$M30*Sensitivity!$C$11+$P30*Sensitivity!$D$11)</x:f>
        <x:v>58.57620442043542</x:v>
      </x:c>
      <x:c r="W30" s="27" t="n">
        <x:f>50+10*($L30*Sensitivity!$B$12+$M30*Sensitivity!$C$12+$P30*Sensitivity!$D$12)</x:f>
        <x:v>59.08439943866845</x:v>
      </x:c>
      <x:c r="X30" s="27"/>
      <x:c r="Y30" s="27"/>
      <x:c r="Z30" s="27"/>
    </x:row>
    <x:row r="31">
      <x:c r="A31" s="27" t="str">
        <x:v>FLE_adaptive_L10_R02_20261009T113330</x:v>
      </x:c>
      <x:c r="B31" s="27" t="str">
        <x:v>adaptive</x:v>
      </x:c>
      <x:c r="C31" s="27" t="n">
        <x:v>10</x:v>
      </x:c>
      <x:c r="D31" s="27" t="n">
        <x:v>5321</x:v>
      </x:c>
      <x:c r="E31" s="27" t="n">
        <x:v>1606</x:v>
      </x:c>
      <x:c r="F31" s="27" t="str">
        <x:v>steam-power, electronics, automation-science-pack</x:v>
      </x:c>
      <x:c r="G31" s="27" t="str">
        <x:v>iron-plate, stone, copper-plate, stone-furnace, iron-ore, coal, copper-ore</x:v>
      </x:c>
      <x:c r="H31" s="27" t="n">
        <x:f>IF(F31="",0,LEN(F31)-LEN(SUBSTITUTE(F31,",",""))+1)</x:f>
        <x:v>3</x:v>
      </x:c>
      <x:c r="I31" s="27" t="n">
        <x:f>IF(G31="",0,LEN(G31)-LEN(SUBSTITUTE(G31,",",""))+1)</x:f>
        <x:v>7</x:v>
      </x:c>
      <x:c r="J31" s="27" t="n">
        <x:f>LN(1+D31)</x:f>
        <x:v>8.579604451537634</x:v>
      </x:c>
      <x:c r="K31" s="27" t="n">
        <x:f>LN(1+E31)</x:f>
        <x:v>7.382124365737512</x:v>
      </x:c>
      <x:c r="L31" s="27" t="n">
        <x:f>(J31-Method!$C$13)/Method!$D$13</x:f>
        <x:v>0.8029472264132279</x:v>
      </x:c>
      <x:c r="M31" s="27" t="n">
        <x:f>(K31-Method!$C$14)/Method!$D$14</x:f>
        <x:v>0.8020162103944729</x:v>
      </x:c>
      <x:c r="N31" s="27" t="n">
        <x:f>(H31-Method!$C$15)/Method!$D$15</x:f>
        <x:v>2.6162173039750547</x:v>
      </x:c>
      <x:c r="O31" s="27" t="n">
        <x:f>(I31-Method!$C$16)/Method!$D$16</x:f>
        <x:v>-0.28454083702339367</x:v>
      </x:c>
      <x:c r="P31" s="27" t="n">
        <x:f>(N31+O31)/2</x:f>
        <x:v>1.1658382334758306</x:v>
      </x:c>
      <x:c r="Q31" s="27" t="n">
        <x:f>50+10*($L31*Sensitivity!$B$6+$M31*Sensitivity!$C$6+$P31*Sensitivity!$D$6)</x:f>
        <x:v>59.23600556761177</x:v>
      </x:c>
      <x:c r="R31" s="27" t="n">
        <x:f>50+10*($L31*Sensitivity!$B$7+$M31*Sensitivity!$C$7+$P31*Sensitivity!$D$7)</x:f>
        <x:v>58.9343722417419</x:v>
      </x:c>
      <x:c r="S31" s="27" t="n">
        <x:f>50+10*($L31*Sensitivity!$B$8+$M31*Sensitivity!$C$8+$P31*Sensitivity!$D$8)</x:f>
        <x:v>58.93204470169501</x:v>
      </x:c>
      <x:c r="T31" s="27" t="n">
        <x:f>50+10*($L31*Sensitivity!$B$9+$M31*Sensitivity!$C$9+$P31*Sensitivity!$D$9)</x:f>
        <x:v>59.841599759398406</x:v>
      </x:c>
      <x:c r="U31" s="27" t="n">
        <x:f>50+10*($L31*Sensitivity!$B$10+$M31*Sensitivity!$C$10+$P31*Sensitivity!$D$10)</x:f>
        <x:v>58.751530214182466</x:v>
      </x:c>
      <x:c r="V31" s="27" t="n">
        <x:f>50+10*($L31*Sensitivity!$B$11+$M31*Sensitivity!$C$11+$P31*Sensitivity!$D$11)</x:f>
        <x:v>59.11535223726382</x:v>
      </x:c>
      <x:c r="W31" s="27" t="n">
        <x:f>50+10*($L31*Sensitivity!$B$12+$M31*Sensitivity!$C$12+$P31*Sensitivity!$D$12)</x:f>
        <x:v>59.47824324432642</x:v>
      </x:c>
      <x:c r="X31" s="27"/>
      <x:c r="Y31" s="27"/>
      <x:c r="Z31" s="27"/>
    </x:row>
    <x:row r="32">
      <x:c r="A32" s="27" t="str">
        <x:v>FLE_adaptive_L10_R03_20261009T124837</x:v>
      </x:c>
      <x:c r="B32" s="27" t="str">
        <x:v>adaptive</x:v>
      </x:c>
      <x:c r="C32" s="27" t="n">
        <x:v>10</x:v>
      </x:c>
      <x:c r="D32" s="27" t="n">
        <x:v>4493</x:v>
      </x:c>
      <x:c r="E32" s="27" t="n">
        <x:v>1309</x:v>
      </x:c>
      <x:c r="F32" s="27" t="str">
        <x:v>automation-science-pack, electronics, steam-power</x:v>
      </x:c>
      <x:c r="G32" s="27" t="str">
        <x:v>iron-plate, copper-ore, stone, coal, iron-ore, copper-plate, stone-furnace</x:v>
      </x:c>
      <x:c r="H32" s="27" t="n">
        <x:f>IF(F32="",0,LEN(F32)-LEN(SUBSTITUTE(F32,",",""))+1)</x:f>
        <x:v>3</x:v>
      </x:c>
      <x:c r="I32" s="27" t="n">
        <x:f>IF(G32="",0,LEN(G32)-LEN(SUBSTITUTE(G32,",",""))+1)</x:f>
        <x:v>7</x:v>
      </x:c>
      <x:c r="J32" s="27" t="n">
        <x:f>LN(1+D32)</x:f>
        <x:v>8.410498452745275</x:v>
      </x:c>
      <x:c r="K32" s="27" t="n">
        <x:f>LN(1+E32)</x:f>
        <x:v>7.177782416195197</x:v>
      </x:c>
      <x:c r="L32" s="27" t="n">
        <x:f>(J32-Method!$C$13)/Method!$D$13</x:f>
        <x:v>0.46942890171542573</x:v>
      </x:c>
      <x:c r="M32" s="27" t="n">
        <x:f>(K32-Method!$C$14)/Method!$D$14</x:f>
        <x:v>0.49360215530290985</x:v>
      </x:c>
      <x:c r="N32" s="27" t="n">
        <x:f>(H32-Method!$C$15)/Method!$D$15</x:f>
        <x:v>2.6162173039750547</x:v>
      </x:c>
      <x:c r="O32" s="27" t="n">
        <x:f>(I32-Method!$C$16)/Method!$D$16</x:f>
        <x:v>-0.28454083702339367</x:v>
      </x:c>
      <x:c r="P32" s="27" t="n">
        <x:f>(N32+O32)/2</x:f>
        <x:v>1.1658382334758306</x:v>
      </x:c>
      <x:c r="Q32" s="27" t="n">
        <x:f>50+10*($L32*Sensitivity!$B$6+$M32*Sensitivity!$C$6+$P32*Sensitivity!$D$6)</x:f>
        <x:v>57.09623096831389</x:v>
      </x:c>
      <x:c r="R32" s="27" t="n">
        <x:f>50+10*($L32*Sensitivity!$B$7+$M32*Sensitivity!$C$7+$P32*Sensitivity!$D$7)</x:f>
        <x:v>56.49574548052398</x:v>
      </x:c>
      <x:c r="S32" s="27" t="n">
        <x:f>50+10*($L32*Sensitivity!$B$8+$M32*Sensitivity!$C$8+$P32*Sensitivity!$D$8)</x:f>
        <x:v>56.556178614492694</x:v>
      </x:c>
      <x:c r="T32" s="27" t="n">
        <x:f>50+10*($L32*Sensitivity!$B$9+$M32*Sensitivity!$C$9+$P32*Sensitivity!$D$9)</x:f>
        <x:v>58.236768809924996</x:v>
      </x:c>
      <x:c r="U32" s="27" t="n">
        <x:f>50+10*($L32*Sensitivity!$B$10+$M32*Sensitivity!$C$10+$P32*Sensitivity!$D$10)</x:f>
        <x:v>56.183800695025006</x:v>
      </x:c>
      <x:c r="V32" s="27" t="n">
        <x:f>50+10*($L32*Sensitivity!$B$11+$M32*Sensitivity!$C$11+$P32*Sensitivity!$D$11)</x:f>
        <x:v>56.85603677319793</x:v>
      </x:c>
      <x:c r="W32" s="27" t="n">
        <x:f>50+10*($L32*Sensitivity!$B$12+$M32*Sensitivity!$C$12+$P32*Sensitivity!$D$12)</x:f>
        <x:v>57.55244610495833</x:v>
      </x:c>
      <x:c r="X32" s="27"/>
      <x:c r="Y32" s="27"/>
      <x:c r="Z32" s="27"/>
    </x:row>
    <x:row r="33">
      <x:c r="A33" s="27" t="str">
        <x:v>FLE_adaptive_L11_R01_20261010T112831</x:v>
      </x:c>
      <x:c r="B33" s="27" t="str">
        <x:v>adaptive</x:v>
      </x:c>
      <x:c r="C33" s="27" t="n">
        <x:v>11</x:v>
      </x:c>
      <x:c r="D33" s="27" t="n">
        <x:v>5571</x:v>
      </x:c>
      <x:c r="E33" s="27" t="n">
        <x:v>1730</x:v>
      </x:c>
      <x:c r="F33" s="27" t="str">
        <x:v>steam-power, electronics, automation-science-pack</x:v>
      </x:c>
      <x:c r="G33" s="27" t="str">
        <x:v>stone-furnace, stone, iron-plate, copper-ore, copper-plate, iron-ore, coal</x:v>
      </x:c>
      <x:c r="H33" s="27" t="n">
        <x:f>IF(F33="",0,LEN(F33)-LEN(SUBSTITUTE(F33,",",""))+1)</x:f>
        <x:v>3</x:v>
      </x:c>
      <x:c r="I33" s="27" t="n">
        <x:f>IF(G33="",0,LEN(G33)-LEN(SUBSTITUTE(G33,",",""))+1)</x:f>
        <x:v>7</x:v>
      </x:c>
      <x:c r="J33" s="27" t="n">
        <x:f>LN(1+D33)</x:f>
        <x:v>8.625509334899697</x:v>
      </x:c>
      <x:c r="K33" s="27" t="n">
        <x:f>LN(1+E33)</x:f>
        <x:v>7.456454555176209</x:v>
      </x:c>
      <x:c r="L33" s="27" t="n">
        <x:f>(J33-Method!$C$13)/Method!$D$13</x:f>
        <x:v>0.8934828662113293</x:v>
      </x:c>
      <x:c r="M33" s="27" t="n">
        <x:f>(K33-Method!$C$14)/Method!$D$14</x:f>
        <x:v>0.9142030383652281</x:v>
      </x:c>
      <x:c r="N33" s="27" t="n">
        <x:f>(H33-Method!$C$15)/Method!$D$15</x:f>
        <x:v>2.6162173039750547</x:v>
      </x:c>
      <x:c r="O33" s="27" t="n">
        <x:f>(I33-Method!$C$16)/Method!$D$16</x:f>
        <x:v>-0.28454083702339367</x:v>
      </x:c>
      <x:c r="P33" s="27" t="n">
        <x:f>(N33+O33)/2</x:f>
        <x:v>1.1658382334758306</x:v>
      </x:c>
      <x:c r="Q33" s="27" t="n">
        <x:f>50+10*($L33*Sensitivity!$B$6+$M33*Sensitivity!$C$6+$P33*Sensitivity!$D$6)</x:f>
        <x:v>59.91174712684129</x:v>
      </x:c>
      <x:c r="R33" s="27" t="n">
        <x:f>50+10*($L33*Sensitivity!$B$7+$M33*Sensitivity!$C$7+$P33*Sensitivity!$D$7)</x:f>
        <x:v>59.667517510659295</x:v>
      </x:c>
      <x:c r="S33" s="27" t="n">
        <x:f>50+10*($L33*Sensitivity!$B$8+$M33*Sensitivity!$C$8+$P33*Sensitivity!$D$8)</x:f>
        <x:v>59.71931794104404</x:v>
      </x:c>
      <x:c r="T33" s="27" t="n">
        <x:f>50+10*($L33*Sensitivity!$B$9+$M33*Sensitivity!$C$9+$P33*Sensitivity!$D$9)</x:f>
        <x:v>60.34840592882055</x:v>
      </x:c>
      <x:c r="U33" s="27" t="n">
        <x:f>50+10*($L33*Sensitivity!$B$10+$M33*Sensitivity!$C$10+$P33*Sensitivity!$D$10)</x:f>
        <x:v>59.56242008525789</x:v>
      </x:c>
      <x:c r="V33" s="27" t="n">
        <x:f>50+10*($L33*Sensitivity!$B$11+$M33*Sensitivity!$C$11+$P33*Sensitivity!$D$11)</x:f>
        <x:v>59.81405528036849</x:v>
      </x:c>
      <x:c r="W33" s="27" t="n">
        <x:f>50+10*($L33*Sensitivity!$B$12+$M33*Sensitivity!$C$12+$P33*Sensitivity!$D$12)</x:f>
        <x:v>60.086410647632995</x:v>
      </x:c>
      <x:c r="X33" s="27"/>
      <x:c r="Y33" s="27"/>
      <x:c r="Z33" s="27"/>
    </x:row>
    <x:row r="34">
      <x:c r="A34" s="27" t="str">
        <x:v>FLE_adaptive_L11_R02_20261010T123218</x:v>
      </x:c>
      <x:c r="B34" s="27" t="str">
        <x:v>adaptive</x:v>
      </x:c>
      <x:c r="C34" s="27" t="n">
        <x:v>11</x:v>
      </x:c>
      <x:c r="D34" s="27" t="n">
        <x:v>6551</x:v>
      </x:c>
      <x:c r="E34" s="27" t="n">
        <x:v>1296</x:v>
      </x:c>
      <x:c r="F34" s="27" t="str">
        <x:v>automation-science-pack, steam-power, electronics</x:v>
      </x:c>
      <x:c r="G34" s="27" t="str">
        <x:v>stone-furnace, iron-plate, copper-plate, coal, iron-ore, stone, copper-ore</x:v>
      </x:c>
      <x:c r="H34" s="27" t="n">
        <x:f>IF(F34="",0,LEN(F34)-LEN(SUBSTITUTE(F34,",",""))+1)</x:f>
        <x:v>3</x:v>
      </x:c>
      <x:c r="I34" s="27" t="n">
        <x:f>IF(G34="",0,LEN(G34)-LEN(SUBSTITUTE(G34,",",""))+1)</x:f>
        <x:v>7</x:v>
      </x:c>
      <x:c r="J34" s="27" t="n">
        <x:f>LN(1+D34)</x:f>
        <x:v>8.787525625532906</x:v>
      </x:c>
      <x:c r="K34" s="27" t="n">
        <x:f>LN(1+E34)</x:f>
        <x:v>7.167809184316444</x:v>
      </x:c>
      <x:c r="L34" s="27" t="n">
        <x:f>(J34-Method!$C$13)/Method!$D$13</x:f>
        <x:v>1.2130185551379469</x:v>
      </x:c>
      <x:c r="M34" s="27" t="n">
        <x:f>(K34-Method!$C$14)/Method!$D$14</x:f>
        <x:v>0.4785495197917774</x:v>
      </x:c>
      <x:c r="N34" s="27" t="n">
        <x:f>(H34-Method!$C$15)/Method!$D$15</x:f>
        <x:v>2.6162173039750547</x:v>
      </x:c>
      <x:c r="O34" s="27" t="n">
        <x:f>(I34-Method!$C$16)/Method!$D$16</x:f>
        <x:v>-0.28454083702339367</x:v>
      </x:c>
      <x:c r="P34" s="27" t="n">
        <x:f>(N34+O34)/2</x:f>
        <x:v>1.1658382334758306</x:v>
      </x:c>
      <x:c r="Q34" s="27" t="n">
        <x:f>50+10*($L34*Sensitivity!$B$6+$M34*Sensitivity!$C$6+$P34*Sensitivity!$D$6)</x:f>
        <x:v>59.524687694685184</x:v>
      </x:c>
      <x:c r="R34" s="27" t="n">
        <x:f>50+10*($L34*Sensitivity!$B$7+$M34*Sensitivity!$C$7+$P34*Sensitivity!$D$7)</x:f>
        <x:v>60.176062158858755</x:v>
      </x:c>
      <x:c r="S34" s="27" t="n">
        <x:f>50+10*($L34*Sensitivity!$B$8+$M34*Sensitivity!$C$8+$P34*Sensitivity!$D$8)</x:f>
        <x:v>58.33988957049333</x:v>
      </x:c>
      <x:c r="T34" s="27" t="n">
        <x:f>50+10*($L34*Sensitivity!$B$9+$M34*Sensitivity!$C$9+$P34*Sensitivity!$D$9)</x:f>
        <x:v>60.05811135470346</x:v>
      </x:c>
      <x:c r="U34" s="27" t="n">
        <x:f>50+10*($L34*Sensitivity!$B$10+$M34*Sensitivity!$C$10+$P34*Sensitivity!$D$10)</x:f>
        <x:v>59.097948766670555</x:v>
      </x:c>
      <x:c r="V34" s="27" t="n">
        <x:f>50+10*($L34*Sensitivity!$B$11+$M34*Sensitivity!$C$11+$P34*Sensitivity!$D$11)</x:f>
        <x:v>59.78523748035461</x:v>
      </x:c>
      <x:c r="W34" s="27" t="n">
        <x:f>50+10*($L34*Sensitivity!$B$12+$M34*Sensitivity!$C$12+$P34*Sensitivity!$D$12)</x:f>
        <x:v>59.7380571586925</x:v>
      </x:c>
      <x:c r="X34" s="27"/>
      <x:c r="Y34" s="27"/>
      <x:c r="Z34" s="27"/>
    </x:row>
    <x:row r="35">
      <x:c r="A35" s="27" t="str">
        <x:v>FLE_adaptive_L11_R03_20261010T134950</x:v>
      </x:c>
      <x:c r="B35" s="27" t="str">
        <x:v>adaptive</x:v>
      </x:c>
      <x:c r="C35" s="27" t="n">
        <x:v>11</x:v>
      </x:c>
      <x:c r="D35" s="27" t="n">
        <x:v>6474</x:v>
      </x:c>
      <x:c r="E35" s="27" t="n">
        <x:v>2086</x:v>
      </x:c>
      <x:c r="F35" s="27" t="str">
        <x:v>automation-science-pack, electronics</x:v>
      </x:c>
      <x:c r="G35" s="27" t="str">
        <x:v>copper-ore, iron-plate, stone, stone-furnace, coal, iron-ore, copper-plate</x:v>
      </x:c>
      <x:c r="H35" s="27" t="n">
        <x:f>IF(F35="",0,LEN(F35)-LEN(SUBSTITUTE(F35,",",""))+1)</x:f>
        <x:v>2</x:v>
      </x:c>
      <x:c r="I35" s="27" t="n">
        <x:f>IF(G35="",0,LEN(G35)-LEN(SUBSTITUTE(G35,",",""))+1)</x:f>
        <x:v>7</x:v>
      </x:c>
      <x:c r="J35" s="27" t="n">
        <x:f>LN(1+D35)</x:f>
        <x:v>8.775703886567738</x:v>
      </x:c>
      <x:c r="K35" s="27" t="n">
        <x:f>LN(1+E35)</x:f>
        <x:v>7.643482907077201</x:v>
      </x:c>
      <x:c r="L35" s="27" t="n">
        <x:f>(J35-Method!$C$13)/Method!$D$13</x:f>
        <x:v>1.1897031990723195</x:v>
      </x:c>
      <x:c r="M35" s="27" t="n">
        <x:f>(K35-Method!$C$14)/Method!$D$14</x:f>
        <x:v>1.196485616935478</x:v>
      </x:c>
      <x:c r="N35" s="27" t="n">
        <x:f>(H35-Method!$C$15)/Method!$D$15</x:f>
        <x:v>-0.2861487676222712</x:v>
      </x:c>
      <x:c r="O35" s="27" t="n">
        <x:f>(I35-Method!$C$16)/Method!$D$16</x:f>
        <x:v>-0.28454083702339367</x:v>
      </x:c>
      <x:c r="P35" s="27" t="n">
        <x:f>(N35+O35)/2</x:f>
        <x:v>-0.28534480232283244</x:v>
      </x:c>
      <x:c r="Q35" s="27" t="n">
        <x:f>50+10*($L35*Sensitivity!$B$6+$M35*Sensitivity!$C$6+$P35*Sensitivity!$D$6)</x:f>
        <x:v>57.00281337894988</x:v>
      </x:c>
      <x:c r="R35" s="27" t="n">
        <x:f>50+10*($L35*Sensitivity!$B$7+$M35*Sensitivity!$C$7+$P35*Sensitivity!$D$7)</x:f>
        <x:v>58.226368031893216</x:v>
      </x:c>
      <x:c r="S35" s="27" t="n">
        <x:f>50+10*($L35*Sensitivity!$B$8+$M35*Sensitivity!$C$8+$P35*Sensitivity!$D$8)</x:f>
        <x:v>58.243324076551104</x:v>
      </x:c>
      <x:c r="T35" s="27" t="n">
        <x:f>50+10*($L35*Sensitivity!$B$9+$M35*Sensitivity!$C$9+$P35*Sensitivity!$D$9)</x:f>
        <x:v>54.53874802840533</x:v>
      </x:c>
      <x:c r="U35" s="27" t="n">
        <x:f>50+10*($L35*Sensitivity!$B$10+$M35*Sensitivity!$C$10+$P35*Sensitivity!$D$10)</x:f>
        <x:v>58.97406565938553</x:v>
      </x:c>
      <x:c r="V35" s="27" t="n">
        <x:f>50+10*($L35*Sensitivity!$B$11+$M35*Sensitivity!$C$11+$P35*Sensitivity!$D$11)</x:f>
        <x:v>57.492235240127215</x:v>
      </x:c>
      <x:c r="W35" s="27" t="n">
        <x:f>50+10*($L35*Sensitivity!$B$12+$M35*Sensitivity!$C$12+$P35*Sensitivity!$D$12)</x:f>
        <x:v>56.01718723873206</x:v>
      </x:c>
      <x:c r="X35" s="27"/>
      <x:c r="Y35" s="27"/>
      <x:c r="Z35" s="27"/>
    </x:row>
    <x:row r="36">
      <x:c r="A36" s="27" t="str">
        <x:v>FLE_adaptive_L12_R01_20261012T135602</x:v>
      </x:c>
      <x:c r="B36" s="27" t="str">
        <x:v>adaptive</x:v>
      </x:c>
      <x:c r="C36" s="27" t="n">
        <x:v>12</x:v>
      </x:c>
      <x:c r="D36" s="27" t="n">
        <x:v>6362</x:v>
      </x:c>
      <x:c r="E36" s="27" t="n">
        <x:v>1241</x:v>
      </x:c>
      <x:c r="F36" s="27" t="str">
        <x:v>steam-power, automation-science-pack, electronics</x:v>
      </x:c>
      <x:c r="G36" s="27" t="str">
        <x:v>coal, copper-plate, stone, stone-furnace, iron-plate, copper-ore, iron-ore</x:v>
      </x:c>
      <x:c r="H36" s="27" t="n">
        <x:f>IF(F36="",0,LEN(F36)-LEN(SUBSTITUTE(F36,",",""))+1)</x:f>
        <x:v>3</x:v>
      </x:c>
      <x:c r="I36" s="27" t="n">
        <x:f>IF(G36="",0,LEN(G36)-LEN(SUBSTITUTE(G36,",",""))+1)</x:f>
        <x:v>7</x:v>
      </x:c>
      <x:c r="J36" s="27" t="n">
        <x:f>LN(1+D36)</x:f>
        <x:v>8.758255243232792</x:v>
      </x:c>
      <x:c r="K36" s="27" t="n">
        <x:f>LN(1+E36)</x:f>
        <x:v>7.124478262493424</x:v>
      </x:c>
      <x:c r="L36" s="27" t="n">
        <x:f>(J36-Method!$C$13)/Method!$D$13</x:f>
        <x:v>1.1552902135195937</x:v>
      </x:c>
      <x:c r="M36" s="27" t="n">
        <x:f>(K36-Method!$C$14)/Method!$D$14</x:f>
        <x:v>0.41315000030874716</x:v>
      </x:c>
      <x:c r="N36" s="27" t="n">
        <x:f>(H36-Method!$C$15)/Method!$D$15</x:f>
        <x:v>2.6162173039750547</x:v>
      </x:c>
      <x:c r="O36" s="27" t="n">
        <x:f>(I36-Method!$C$16)/Method!$D$16</x:f>
        <x:v>-0.28454083702339367</x:v>
      </x:c>
      <x:c r="P36" s="27" t="n">
        <x:f>(N36+O36)/2</x:f>
        <x:v>1.1658382334758306</x:v>
      </x:c>
      <x:c r="Q36" s="27" t="n">
        <x:f>50+10*($L36*Sensitivity!$B$6+$M36*Sensitivity!$C$6+$P36*Sensitivity!$D$6)</x:f>
        <x:v>59.114261491013906</x:v>
      </x:c>
      <x:c r="R36" s="27" t="n">
        <x:f>50+10*($L36*Sensitivity!$B$7+$M36*Sensitivity!$C$7+$P36*Sensitivity!$D$7)</x:f>
        <x:v>59.72392165205942</x:v>
      </x:c>
      <x:c r="S36" s="27" t="n">
        <x:f>50+10*($L36*Sensitivity!$B$8+$M36*Sensitivity!$C$8+$P36*Sensitivity!$D$8)</x:f>
        <x:v>57.868571119032296</x:v>
      </x:c>
      <x:c r="T36" s="27" t="n">
        <x:f>50+10*($L36*Sensitivity!$B$9+$M36*Sensitivity!$C$9+$P36*Sensitivity!$D$9)</x:f>
        <x:v>59.750291701950005</x:v>
      </x:c>
      <x:c r="U36" s="27" t="n">
        <x:f>50+10*($L36*Sensitivity!$B$10+$M36*Sensitivity!$C$10+$P36*Sensitivity!$D$10)</x:f>
        <x:v>58.605437322265026</x:v>
      </x:c>
      <x:c r="V36" s="27" t="n">
        <x:f>50+10*($L36*Sensitivity!$B$11+$M36*Sensitivity!$C$11+$P36*Sensitivity!$D$11)</x:f>
        <x:v>59.35812555543211</x:v>
      </x:c>
      <x:c r="W36" s="27" t="n">
        <x:f>50+10*($L36*Sensitivity!$B$12+$M36*Sensitivity!$C$12+$P36*Sensitivity!$D$12)</x:f>
        <x:v>59.36867357538834</x:v>
      </x:c>
      <x:c r="X36" s="27"/>
      <x:c r="Y36" s="27"/>
      <x:c r="Z36" s="27"/>
    </x:row>
    <x:row r="37">
      <x:c r="A37" s="27" t="str">
        <x:v>FLE_adaptive_L12_R02_20261012T145427</x:v>
      </x:c>
      <x:c r="B37" s="27" t="str">
        <x:v>adaptive</x:v>
      </x:c>
      <x:c r="C37" s="27" t="n">
        <x:v>12</x:v>
      </x:c>
      <x:c r="D37" s="27" t="n">
        <x:v>4273</x:v>
      </x:c>
      <x:c r="E37" s="27" t="n">
        <x:v>1071</x:v>
      </x:c>
      <x:c r="F37" s="27" t="str">
        <x:v>automation-science-pack, electronics, steam-power</x:v>
      </x:c>
      <x:c r="G37" s="27" t="str">
        <x:v>copper-ore, stone-furnace, copper-plate, stone, coal, iron-plate, iron-ore</x:v>
      </x:c>
      <x:c r="H37" s="27" t="n">
        <x:f>IF(F37="",0,LEN(F37)-LEN(SUBSTITUTE(F37,",",""))+1)</x:f>
        <x:v>3</x:v>
      </x:c>
      <x:c r="I37" s="27" t="n">
        <x:f>IF(G37="",0,LEN(G37)-LEN(SUBSTITUTE(G37,",",""))+1)</x:f>
        <x:v>7</x:v>
      </x:c>
      <x:c r="J37" s="27" t="n">
        <x:f>LN(1+D37)</x:f>
        <x:v>8.360305435879093</x:v>
      </x:c>
      <x:c r="K37" s="27" t="n">
        <x:f>LN(1+E37)</x:f>
        <x:v>6.977281341630747</x:v>
      </x:c>
      <x:c r="L37" s="27" t="n">
        <x:f>(J37-Method!$C$13)/Method!$D$13</x:f>
        <x:v>0.37043601550035804</x:v>
      </x:c>
      <x:c r="M37" s="27" t="n">
        <x:f>(K37-Method!$C$14)/Method!$D$14</x:f>
        <x:v>0.19098514692484078</x:v>
      </x:c>
      <x:c r="N37" s="27" t="n">
        <x:f>(H37-Method!$C$15)/Method!$D$15</x:f>
        <x:v>2.6162173039750547</x:v>
      </x:c>
      <x:c r="O37" s="27" t="n">
        <x:f>(I37-Method!$C$16)/Method!$D$16</x:f>
        <x:v>-0.28454083702339367</x:v>
      </x:c>
      <x:c r="P37" s="27" t="n">
        <x:f>(N37+O37)/2</x:f>
        <x:v>1.1658382334758306</x:v>
      </x:c>
      <x:c r="Q37" s="27" t="n">
        <x:f>50+10*($L37*Sensitivity!$B$6+$M37*Sensitivity!$C$6+$P37*Sensitivity!$D$6)</x:f>
        <x:v>55.75753131967009</x:v>
      </x:c>
      <x:c r="R37" s="27" t="n">
        <x:f>50+10*($L37*Sensitivity!$B$7+$M37*Sensitivity!$C$7+$P37*Sensitivity!$D$7)</x:f>
        <x:v>55.244238528503466</x:v>
      </x:c>
      <x:c r="S37" s="27" t="n">
        <x:f>50+10*($L37*Sensitivity!$B$8+$M37*Sensitivity!$C$8+$P37*Sensitivity!$D$8)</x:f>
        <x:v>54.79561135706467</x:v>
      </x:c>
      <x:c r="T37" s="27" t="n">
        <x:f>50+10*($L37*Sensitivity!$B$9+$M37*Sensitivity!$C$9+$P37*Sensitivity!$D$9)</x:f>
        <x:v>57.23274407344215</x:v>
      </x:c>
      <x:c r="U37" s="27" t="n">
        <x:f>50+10*($L37*Sensitivity!$B$10+$M37*Sensitivity!$C$10+$P37*Sensitivity!$D$10)</x:f>
        <x:v>54.577361116652455</x:v>
      </x:c>
      <x:c r="V37" s="27" t="n">
        <x:f>50+10*($L37*Sensitivity!$B$11+$M37*Sensitivity!$C$11+$P37*Sensitivity!$D$11)</x:f>
        <x:v>55.55221420320345</x:v>
      </x:c>
      <x:c r="W37" s="27" t="n">
        <x:f>50+10*($L37*Sensitivity!$B$12+$M37*Sensitivity!$C$12+$P37*Sensitivity!$D$12)</x:f>
        <x:v>56.34761642117892</x:v>
      </x:c>
      <x:c r="X37" s="27"/>
      <x:c r="Y37" s="27"/>
      <x:c r="Z37" s="27"/>
    </x:row>
    <x:row r="38">
      <x:c r="A38" s="27" t="str">
        <x:v>FLE_adaptive_L12_R03_20261012T155130</x:v>
      </x:c>
      <x:c r="B38" s="27" t="str">
        <x:v>adaptive</x:v>
      </x:c>
      <x:c r="C38" s="27" t="n">
        <x:v>12</x:v>
      </x:c>
      <x:c r="D38" s="27" t="n">
        <x:v>6646</x:v>
      </x:c>
      <x:c r="E38" s="27" t="n">
        <x:v>2019</x:v>
      </x:c>
      <x:c r="F38" s="27" t="str">
        <x:v>automation-science-pack, steam-power, electronics</x:v>
      </x:c>
      <x:c r="G38" s="27" t="str">
        <x:v>stone-furnace, stone, copper-plate, coal, iron-ore, copper-ore, iron-plate</x:v>
      </x:c>
      <x:c r="H38" s="27" t="n">
        <x:f>IF(F38="",0,LEN(F38)-LEN(SUBSTITUTE(F38,",",""))+1)</x:f>
        <x:v>3</x:v>
      </x:c>
      <x:c r="I38" s="27" t="n">
        <x:f>IF(G38="",0,LEN(G38)-LEN(SUBSTITUTE(G38,",",""))+1)</x:f>
        <x:v>7</x:v>
      </x:c>
      <x:c r="J38" s="27" t="n">
        <x:f>LN(1+D38)</x:f>
        <x:v>8.801920904041582</x:v>
      </x:c>
      <x:c r="K38" s="27" t="n">
        <x:f>LN(1+E38)</x:f>
        <x:v>7.61085279039525</x:v>
      </x:c>
      <x:c r="L38" s="27" t="n">
        <x:f>(J38-Method!$C$13)/Method!$D$13</x:f>
        <x:v>1.2414095596325128</x:v>
      </x:c>
      <x:c r="M38" s="27" t="n">
        <x:f>(K38-Method!$C$14)/Method!$D$14</x:f>
        <x:v>1.1472368619611246</x:v>
      </x:c>
      <x:c r="N38" s="27" t="n">
        <x:f>(H38-Method!$C$15)/Method!$D$15</x:f>
        <x:v>2.6162173039750547</x:v>
      </x:c>
      <x:c r="O38" s="27" t="n">
        <x:f>(I38-Method!$C$16)/Method!$D$16</x:f>
        <x:v>-0.28454083702339367</x:v>
      </x:c>
      <x:c r="P38" s="27" t="n">
        <x:f>(N38+O38)/2</x:f>
        <x:v>1.1658382334758306</x:v>
      </x:c>
      <x:c r="Q38" s="27" t="n">
        <x:f>50+10*($L38*Sensitivity!$B$6+$M38*Sensitivity!$C$6+$P38*Sensitivity!$D$6)</x:f>
        <x:v>61.84828218356489</x:v>
      </x:c>
      <x:c r="R38" s="27" t="n">
        <x:f>50+10*($L38*Sensitivity!$B$7+$M38*Sensitivity!$C$7+$P38*Sensitivity!$D$7)</x:f>
        <x:v>61.98973553675495</x:v>
      </x:c>
      <x:c r="S38" s="27" t="n">
        <x:f>50+10*($L38*Sensitivity!$B$8+$M38*Sensitivity!$C$8+$P38*Sensitivity!$D$8)</x:f>
        <x:v>61.75430379257648</x:v>
      </x:c>
      <x:c r="T38" s="27" t="n">
        <x:f>50+10*($L38*Sensitivity!$B$9+$M38*Sensitivity!$C$9+$P38*Sensitivity!$D$9)</x:f>
        <x:v>61.80080722136324</x:v>
      </x:c>
      <x:c r="U38" s="27" t="n">
        <x:f>50+10*($L38*Sensitivity!$B$10+$M38*Sensitivity!$C$10+$P38*Sensitivity!$D$10)</x:f>
        <x:v>61.886262153326214</x:v>
      </x:c>
      <x:c r="V38" s="27" t="n">
        <x:f>50+10*($L38*Sensitivity!$B$11+$M38*Sensitivity!$C$11+$P38*Sensitivity!$D$11)</x:f>
        <x:v>61.90486352484092</x:v>
      </x:c>
      <x:c r="W38" s="27" t="n">
        <x:f>50+10*($L38*Sensitivity!$B$12+$M38*Sensitivity!$C$12+$P38*Sensitivity!$D$12)</x:f>
        <x:v>61.829292198684236</x:v>
      </x:c>
      <x:c r="X38" s="27"/>
      <x:c r="Y38" s="27"/>
      <x:c r="Z38" s="27"/>
    </x:row>
    <x:row r="39">
      <x:c r="A39" s="27" t="str">
        <x:v>FLE_fixed_L01_R01_20260924T115543</x:v>
      </x:c>
      <x:c r="B39" s="27" t="str">
        <x:v>fixed</x:v>
      </x:c>
      <x:c r="C39" s="27" t="n">
        <x:v>1</x:v>
      </x:c>
      <x:c r="D39" s="27" t="n">
        <x:v>2143</x:v>
      </x:c>
      <x:c r="E39" s="27" t="n">
        <x:v>477</x:v>
      </x:c>
      <x:c r="F39" s="27" t="str">
        <x:v>automation-science-pack, steam-power</x:v>
      </x:c>
      <x:c r="G39" s="27" t="str">
        <x:v>stone, coal, stone-furnace, iron-plate, iron-gear-wheel, burner-mining-drill, iron-ore</x:v>
      </x:c>
      <x:c r="H39" s="27" t="n">
        <x:f>IF(F39="",0,LEN(F39)-LEN(SUBSTITUTE(F39,",",""))+1)</x:f>
        <x:v>2</x:v>
      </x:c>
      <x:c r="I39" s="27" t="n">
        <x:f>IF(G39="",0,LEN(G39)-LEN(SUBSTITUTE(G39,",",""))+1)</x:f>
        <x:v>7</x:v>
      </x:c>
      <x:c r="J39" s="27" t="n">
        <x:f>LN(1+D39)</x:f>
        <x:v>7.670428522190693</x:v>
      </x:c>
      <x:c r="K39" s="27" t="n">
        <x:f>LN(1+E39)</x:f>
        <x:v>6.169610732491456</x:v>
      </x:c>
      <x:c r="L39" s="27" t="n">
        <x:f>(J39-Method!$C$13)/Method!$D$13</x:f>
        <x:v>-0.9901697237647699</x:v>
      </x:c>
      <x:c r="M39" s="27" t="n">
        <x:f>(K39-Method!$C$14)/Method!$D$14</x:f>
        <x:v>-1.0280350704159864</x:v>
      </x:c>
      <x:c r="N39" s="27" t="n">
        <x:f>(H39-Method!$C$15)/Method!$D$15</x:f>
        <x:v>-0.2861487676222712</x:v>
      </x:c>
      <x:c r="O39" s="27" t="n">
        <x:f>(I39-Method!$C$16)/Method!$D$16</x:f>
        <x:v>-0.28454083702339367</x:v>
      </x:c>
      <x:c r="P39" s="27" t="n">
        <x:f>(N39+O39)/2</x:f>
        <x:v>-0.28534480232283244</x:v>
      </x:c>
      <x:c r="Q39" s="27" t="n">
        <x:f>50+10*($L39*Sensitivity!$B$6+$M39*Sensitivity!$C$6+$P39*Sensitivity!$D$6)</x:f>
        <x:v>42.321501344988036</x:v>
      </x:c>
      <x:c r="R39" s="27" t="n">
        <x:f>50+10*($L39*Sensitivity!$B$7+$M39*Sensitivity!$C$7+$P39*Sensitivity!$D$7)</x:f>
        <x:v>41.7657016993291</x:v>
      </x:c>
      <x:c r="S39" s="27" t="n">
        <x:f>50+10*($L39*Sensitivity!$B$8+$M39*Sensitivity!$C$8+$P39*Sensitivity!$D$8)</x:f>
        <x:v>41.67103833270106</x:v>
      </x:c>
      <x:c r="T39" s="27" t="n">
        <x:f>50+10*($L39*Sensitivity!$B$9+$M39*Sensitivity!$C$9+$P39*Sensitivity!$D$9)</x:f>
        <x:v>43.52776400293395</x:v>
      </x:c>
      <x:c r="U39" s="27" t="n">
        <x:f>50+10*($L39*Sensitivity!$B$10+$M39*Sensitivity!$C$10+$P39*Sensitivity!$D$10)</x:f>
        <x:v>41.35649121863131</x:v>
      </x:c>
      <x:c r="V39" s="27" t="n">
        <x:f>50+10*($L39*Sensitivity!$B$11+$M39*Sensitivity!$C$11+$P39*Sensitivity!$D$11)</x:f>
        <x:v>42.09918148672446</x:v>
      </x:c>
      <x:c r="W39" s="27" t="n">
        <x:f>50+10*($L39*Sensitivity!$B$12+$M39*Sensitivity!$C$12+$P39*Sensitivity!$D$12)</x:f>
        <x:v>42.8040064081664</x:v>
      </x:c>
      <x:c r="X39" s="27"/>
      <x:c r="Y39" s="27"/>
      <x:c r="Z39" s="27"/>
    </x:row>
    <x:row r="40">
      <x:c r="A40" s="27" t="str">
        <x:v>FLE_fixed_L01_R02_20260924T123443</x:v>
      </x:c>
      <x:c r="B40" s="27" t="str">
        <x:v>fixed</x:v>
      </x:c>
      <x:c r="C40" s="27" t="n">
        <x:v>1</x:v>
      </x:c>
      <x:c r="D40" s="27" t="n">
        <x:v>3813</x:v>
      </x:c>
      <x:c r="E40" s="27" t="n">
        <x:v>943</x:v>
      </x:c>
      <x:c r="F40" s="27" t="str">
        <x:v>steam-power, automation-science-pack</x:v>
      </x:c>
      <x:c r="G40" s="27" t="str">
        <x:v>coal, iron-plate, stone-furnace, iron-ore, iron-gear-wheel, stone, burner-mining-drill</x:v>
      </x:c>
      <x:c r="H40" s="27" t="n">
        <x:f>IF(F40="",0,LEN(F40)-LEN(SUBSTITUTE(F40,",",""))+1)</x:f>
        <x:v>2</x:v>
      </x:c>
      <x:c r="I40" s="27" t="n">
        <x:f>IF(G40="",0,LEN(G40)-LEN(SUBSTITUTE(G40,",",""))+1)</x:f>
        <x:v>7</x:v>
      </x:c>
      <x:c r="J40" s="27" t="n">
        <x:f>LN(1+D40)</x:f>
        <x:v>8.246433786160365</x:v>
      </x:c>
      <x:c r="K40" s="27" t="n">
        <x:f>LN(1+E40)</x:f>
        <x:v>6.8501261661455</x:v>
      </x:c>
      <x:c r="L40" s="27" t="n">
        <x:f>(J40-Method!$C$13)/Method!$D$13</x:f>
        <x:v>0.14585331520598385</x:v>
      </x:c>
      <x:c r="M40" s="27" t="n">
        <x:f>(K40-Method!$C$14)/Method!$D$14</x:f>
        <x:v>-0.0009306265378340087</x:v>
      </x:c>
      <x:c r="N40" s="27" t="n">
        <x:f>(H40-Method!$C$15)/Method!$D$15</x:f>
        <x:v>-0.2861487676222712</x:v>
      </x:c>
      <x:c r="O40" s="27" t="n">
        <x:f>(I40-Method!$C$16)/Method!$D$16</x:f>
        <x:v>-0.28454083702339367</x:v>
      </x:c>
      <x:c r="P40" s="27" t="n">
        <x:f>(N40+O40)/2</x:f>
        <x:v>-0.28534480232283244</x:v>
      </x:c>
      <x:c r="Q40" s="27" t="n">
        <x:f>50+10*($L40*Sensitivity!$B$6+$M40*Sensitivity!$C$6+$P40*Sensitivity!$D$6)</x:f>
        <x:v>49.531926287817726</x:v>
      </x:c>
      <x:c r="R40" s="27" t="n">
        <x:f>50+10*($L40*Sensitivity!$B$7+$M40*Sensitivity!$C$7+$P40*Sensitivity!$D$7)</x:f>
        <x:v>50.01357800387825</x:v>
      </x:c>
      <x:c r="S40" s="27" t="n">
        <x:f>50+10*($L40*Sensitivity!$B$8+$M40*Sensitivity!$C$8+$P40*Sensitivity!$D$8)</x:f>
        <x:v>49.64661814951871</x:v>
      </x:c>
      <x:c r="T40" s="27" t="n">
        <x:f>50+10*($L40*Sensitivity!$B$9+$M40*Sensitivity!$C$9+$P40*Sensitivity!$D$9)</x:f>
        <x:v>48.93558271005621</x:v>
      </x:c>
      <x:c r="U40" s="27" t="n">
        <x:f>50+10*($L40*Sensitivity!$B$10+$M40*Sensitivity!$C$10+$P40*Sensitivity!$D$10)</x:f>
        <x:v>50.00900115002693</x:v>
      </x:c>
      <x:c r="V40" s="27" t="n">
        <x:f>50+10*($L40*Sensitivity!$B$11+$M40*Sensitivity!$C$11+$P40*Sensitivity!$D$11)</x:f>
        <x:v>49.72458697424194</x:v>
      </x:c>
      <x:c r="W40" s="27" t="n">
        <x:f>50+10*($L40*Sensitivity!$B$12+$M40*Sensitivity!$C$12+$P40*Sensitivity!$D$12)</x:f>
        <x:v>49.29338885671312</x:v>
      </x:c>
      <x:c r="X40" s="27"/>
      <x:c r="Y40" s="27"/>
      <x:c r="Z40" s="27"/>
    </x:row>
    <x:row r="41">
      <x:c r="A41" s="27" t="str">
        <x:v>FLE_fixed_L01_R03_20260924T131451</x:v>
      </x:c>
      <x:c r="B41" s="27" t="str">
        <x:v>fixed</x:v>
      </x:c>
      <x:c r="C41" s="27" t="n">
        <x:v>1</x:v>
      </x:c>
      <x:c r="D41" s="27" t="n">
        <x:v>1499</x:v>
      </x:c>
      <x:c r="E41" s="27" t="n">
        <x:v>365</x:v>
      </x:c>
      <x:c r="F41" s="27" t="str">
        <x:v>automation-science-pack, steam-power</x:v>
      </x:c>
      <x:c r="G41" s="27" t="str">
        <x:v>iron-plate, iron-ore, stone-furnace, burner-mining-drill, coal, iron-gear-wheel, iron-chest, stone</x:v>
      </x:c>
      <x:c r="H41" s="27" t="n">
        <x:f>IF(F41="",0,LEN(F41)-LEN(SUBSTITUTE(F41,",",""))+1)</x:f>
        <x:v>2</x:v>
      </x:c>
      <x:c r="I41" s="27" t="n">
        <x:f>IF(G41="",0,LEN(G41)-LEN(SUBSTITUTE(G41,",",""))+1)</x:f>
        <x:v>8</x:v>
      </x:c>
      <x:c r="J41" s="27" t="n">
        <x:f>LN(1+D41)</x:f>
        <x:v>7.313220387090301</x:v>
      </x:c>
      <x:c r="K41" s="27" t="n">
        <x:f>LN(1+E41)</x:f>
        <x:v>5.902633333401366</x:v>
      </x:c>
      <x:c r="L41" s="27" t="n">
        <x:f>(J41-Method!$C$13)/Method!$D$13</x:f>
        <x:v>-1.69467139513003</x:v>
      </x:c>
      <x:c r="M41" s="27" t="n">
        <x:f>(K41-Method!$C$14)/Method!$D$14</x:f>
        <x:v>-1.4309850396004706</x:v>
      </x:c>
      <x:c r="N41" s="27" t="n">
        <x:f>(H41-Method!$C$15)/Method!$D$15</x:f>
        <x:v>-0.2861487676222712</x:v>
      </x:c>
      <x:c r="O41" s="27" t="n">
        <x:f>(I41-Method!$C$16)/Method!$D$16</x:f>
        <x:v>0.7787433434324454</x:v>
      </x:c>
      <x:c r="P41" s="27" t="n">
        <x:f>(N41+O41)/2</x:f>
        <x:v>0.24629728790508712</x:v>
      </x:c>
      <x:c r="Q41" s="27" t="n">
        <x:f>50+10*($L41*Sensitivity!$B$6+$M41*Sensitivity!$C$6+$P41*Sensitivity!$D$6)</x:f>
        <x:v>40.40213617724862</x:v>
      </x:c>
      <x:c r="R41" s="27" t="n">
        <x:f>50+10*($L41*Sensitivity!$B$7+$M41*Sensitivity!$C$7+$P41*Sensitivity!$D$7)</x:f>
        <x:v>38.56492364511139</x:v>
      </x:c>
      <x:c r="S41" s="27" t="n">
        <x:f>50+10*($L41*Sensitivity!$B$8+$M41*Sensitivity!$C$8+$P41*Sensitivity!$D$8)</x:f>
        <x:v>39.224139533935286</x:v>
      </x:c>
      <x:c r="T41" s="27" t="n">
        <x:f>50+10*($L41*Sensitivity!$B$9+$M41*Sensitivity!$C$9+$P41*Sensitivity!$D$9)</x:f>
        <x:v>43.417345352699186</x:v>
      </x:c>
      <x:c r="U41" s="27" t="n">
        <x:f>50+10*($L41*Sensitivity!$B$10+$M41*Sensitivity!$C$10+$P41*Sensitivity!$D$10)</x:f>
        <x:v>37.989968836888174</x:v>
      </x:c>
      <x:c r="V41" s="27" t="n">
        <x:f>50+10*($L41*Sensitivity!$B$11+$M41*Sensitivity!$C$11+$P41*Sensitivity!$D$11)</x:f>
        <x:v>39.66725116439373</x:v>
      </x:c>
      <x:c r="W41" s="27" t="n">
        <x:f>50+10*($L41*Sensitivity!$B$12+$M41*Sensitivity!$C$12+$P41*Sensitivity!$D$12)</x:f>
        <x:v>41.60821984742884</x:v>
      </x:c>
      <x:c r="X41" s="27"/>
      <x:c r="Y41" s="27"/>
      <x:c r="Z41" s="27"/>
    </x:row>
    <x:row r="42">
      <x:c r="A42" s="27" t="str">
        <x:v>FLE_fixed_L02_R01_20260924T144103</x:v>
      </x:c>
      <x:c r="B42" s="27" t="str">
        <x:v>fixed</x:v>
      </x:c>
      <x:c r="C42" s="27" t="n">
        <x:v>2</x:v>
      </x:c>
      <x:c r="D42" s="27" t="n">
        <x:v>983</x:v>
      </x:c>
      <x:c r="E42" s="27" t="n">
        <x:v>90</x:v>
      </x:c>
      <x:c r="F42" s="27" t="str">
        <x:v>automation-science-pack</x:v>
      </x:c>
      <x:c r="G42" s="27" t="str">
        <x:v>iron-gear-wheel, stone, burner-mining-drill, coal, iron-ore, stone-furnace, iron-plate</x:v>
      </x:c>
      <x:c r="H42" s="27" t="n">
        <x:f>IF(F42="",0,LEN(F42)-LEN(SUBSTITUTE(F42,",",""))+1)</x:f>
        <x:v>1</x:v>
      </x:c>
      <x:c r="I42" s="27" t="n">
        <x:f>IF(G42="",0,LEN(G42)-LEN(SUBSTITUTE(G42,",",""))+1)</x:f>
        <x:v>7</x:v>
      </x:c>
      <x:c r="J42" s="27" t="n">
        <x:f>LN(1+D42)</x:f>
        <x:v>6.891625897052253</x:v>
      </x:c>
      <x:c r="K42" s="27" t="n">
        <x:f>LN(1+E42)</x:f>
        <x:v>4.51085950651685</x:v>
      </x:c>
      <x:c r="L42" s="27" t="n">
        <x:f>(J42-Method!$C$13)/Method!$D$13</x:f>
        <x:v>-2.526158681349633</x:v>
      </x:c>
      <x:c r="M42" s="27" t="n">
        <x:f>(K42-Method!$C$14)/Method!$D$14</x:f>
        <x:v>-3.5315943891793187</x:v>
      </x:c>
      <x:c r="N42" s="27" t="n">
        <x:f>(H42-Method!$C$15)/Method!$D$15</x:f>
        <x:v>-3.188514839219597</x:v>
      </x:c>
      <x:c r="O42" s="27" t="n">
        <x:f>(I42-Method!$C$16)/Method!$D$16</x:f>
        <x:v>-0.28454083702339367</x:v>
      </x:c>
      <x:c r="P42" s="27" t="n">
        <x:f>(N42+O42)/2</x:f>
        <x:v>-1.7365278381214952</x:v>
      </x:c>
      <x:c r="Q42" s="27" t="n">
        <x:f>50+10*($L42*Sensitivity!$B$6+$M42*Sensitivity!$C$6+$P42*Sensitivity!$D$6)</x:f>
        <x:v>24.01906363783184</x:v>
      </x:c>
      <x:c r="R42" s="27" t="n">
        <x:f>50+10*($L42*Sensitivity!$B$7+$M42*Sensitivity!$C$7+$P42*Sensitivity!$D$7)</x:f>
        <x:v>24.198901024999802</x:v>
      </x:c>
      <x:c r="S42" s="27" t="n">
        <x:f>50+10*($L42*Sensitivity!$B$8+$M42*Sensitivity!$C$8+$P42*Sensitivity!$D$8)</x:f>
        <x:v>21.685311755425587</x:v>
      </x:c>
      <x:c r="T42" s="27" t="n">
        <x:f>50+10*($L42*Sensitivity!$B$9+$M42*Sensitivity!$C$9+$P42*Sensitivity!$D$9)</x:f>
        <x:v>26.172978133070146</x:v>
      </x:c>
      <x:c r="U42" s="27" t="n">
        <x:f>50+10*($L42*Sensitivity!$B$10+$M42*Sensitivity!$C$10+$P42*Sensitivity!$D$10)</x:f>
        <x:v>22.2959320416412</x:v>
      </x:c>
      <x:c r="V42" s="27" t="n">
        <x:f>50+10*($L42*Sensitivity!$B$11+$M42*Sensitivity!$C$11+$P42*Sensitivity!$D$11)</x:f>
        <x:v>24.090998592699027</x:v>
      </x:c>
      <x:c r="W42" s="27" t="n">
        <x:f>50+10*($L42*Sensitivity!$B$12+$M42*Sensitivity!$C$12+$P42*Sensitivity!$D$12)</x:f>
        <x:v>24.880629435927162</x:v>
      </x:c>
      <x:c r="X42" s="27"/>
      <x:c r="Y42" s="27"/>
      <x:c r="Z42" s="27"/>
    </x:row>
    <x:row r="43">
      <x:c r="A43" s="27" t="str">
        <x:v>FLE_fixed_L02_R02_20260924T152358</x:v>
      </x:c>
      <x:c r="B43" s="27" t="str">
        <x:v>fixed</x:v>
      </x:c>
      <x:c r="C43" s="27" t="n">
        <x:v>2</x:v>
      </x:c>
      <x:c r="D43" s="27" t="n">
        <x:v>5096</x:v>
      </x:c>
      <x:c r="E43" s="27" t="n">
        <x:v>1202</x:v>
      </x:c>
      <x:c r="F43" s="27" t="str">
        <x:v>automation-science-pack, steam-power</x:v>
      </x:c>
      <x:c r="G43" s="27" t="str">
        <x:v>stone, iron-gear-wheel, iron-plate, iron-ore, stone-furnace, burner-mining-drill, coal</x:v>
      </x:c>
      <x:c r="H43" s="27" t="n">
        <x:f>IF(F43="",0,LEN(F43)-LEN(SUBSTITUTE(F43,",",""))+1)</x:f>
        <x:v>2</x:v>
      </x:c>
      <x:c r="I43" s="27" t="n">
        <x:f>IF(G43="",0,LEN(G43)-LEN(SUBSTITUTE(G43,",",""))+1)</x:f>
        <x:v>7</x:v>
      </x:c>
      <x:c r="J43" s="27" t="n">
        <x:f>LN(1+D43)</x:f>
        <x:v>8.536407410340042</x:v>
      </x:c>
      <x:c r="K43" s="27" t="n">
        <x:f>LN(1+E43)</x:f>
        <x:v>7.0925737159746784</x:v>
      </x:c>
      <x:c r="L43" s="27" t="n">
        <x:f>(J43-Method!$C$13)/Method!$D$13</x:f>
        <x:v>0.7177521126088213</x:v>
      </x:c>
      <x:c r="M43" s="27" t="n">
        <x:f>(K43-Method!$C$14)/Method!$D$14</x:f>
        <x:v>0.36499635104709055</x:v>
      </x:c>
      <x:c r="N43" s="27" t="n">
        <x:f>(H43-Method!$C$15)/Method!$D$15</x:f>
        <x:v>-0.2861487676222712</x:v>
      </x:c>
      <x:c r="O43" s="27" t="n">
        <x:f>(I43-Method!$C$16)/Method!$D$16</x:f>
        <x:v>-0.28454083702339367</x:v>
      </x:c>
      <x:c r="P43" s="27" t="n">
        <x:f>(N43+O43)/2</x:f>
        <x:v>-0.28534480232283244</x:v>
      </x:c>
      <x:c r="Q43" s="27" t="n">
        <x:f>50+10*($L43*Sensitivity!$B$6+$M43*Sensitivity!$C$6+$P43*Sensitivity!$D$6)</x:f>
        <x:v>52.6580122044436</x:v>
      </x:c>
      <x:c r="R43" s="27" t="n">
        <x:f>50+10*($L43*Sensitivity!$B$7+$M43*Sensitivity!$C$7+$P43*Sensitivity!$D$7)</x:f>
        <x:v>53.787889434854755</x:v>
      </x:c>
      <x:c r="S43" s="27" t="n">
        <x:f>50+10*($L43*Sensitivity!$B$8+$M43*Sensitivity!$C$8+$P43*Sensitivity!$D$8)</x:f>
        <x:v>52.90600003095042</x:v>
      </x:c>
      <x:c r="T43" s="27" t="n">
        <x:f>50+10*($L43*Sensitivity!$B$9+$M43*Sensitivity!$C$9+$P43*Sensitivity!$D$9)</x:f>
        <x:v>51.28014714752562</x:v>
      </x:c>
      <x:c r="U43" s="27" t="n">
        <x:f>50+10*($L43*Sensitivity!$B$10+$M43*Sensitivity!$C$10+$P43*Sensitivity!$D$10)</x:f>
        <x:v>53.760304249977985</x:v>
      </x:c>
      <x:c r="V43" s="27" t="n">
        <x:f>50+10*($L43*Sensitivity!$B$11+$M43*Sensitivity!$C$11+$P43*Sensitivity!$D$11)</x:f>
        <x:v>53.10996309660806</x:v>
      </x:c>
      <x:c r="W43" s="27" t="n">
        <x:f>50+10*($L43*Sensitivity!$B$12+$M43*Sensitivity!$C$12+$P43*Sensitivity!$D$12)</x:f>
        <x:v>52.10686618167641</x:v>
      </x:c>
      <x:c r="X43" s="27"/>
      <x:c r="Y43" s="27"/>
      <x:c r="Z43" s="27"/>
    </x:row>
    <x:row r="44">
      <x:c r="A44" s="27" t="str">
        <x:v>FLE_fixed_L02_R03_20260924T160525</x:v>
      </x:c>
      <x:c r="B44" s="27" t="str">
        <x:v>fixed</x:v>
      </x:c>
      <x:c r="C44" s="27" t="n">
        <x:v>2</x:v>
      </x:c>
      <x:c r="D44" s="27" t="n">
        <x:v>3631</x:v>
      </x:c>
      <x:c r="E44" s="27" t="n">
        <x:v>934</x:v>
      </x:c>
      <x:c r="F44" s="27" t="str">
        <x:v>automation-science-pack, steam-power</x:v>
      </x:c>
      <x:c r="G44" s="27" t="str">
        <x:v>stone-furnace, stone, coal, iron-plate, iron-gear-wheel, iron-ore, burner-mining-drill</x:v>
      </x:c>
      <x:c r="H44" s="27" t="n">
        <x:f>IF(F44="",0,LEN(F44)-LEN(SUBSTITUTE(F44,",",""))+1)</x:f>
        <x:v>2</x:v>
      </x:c>
      <x:c r="I44" s="27" t="n">
        <x:f>IF(G44="",0,LEN(G44)-LEN(SUBSTITUTE(G44,",",""))+1)</x:f>
        <x:v>7</x:v>
      </x:c>
      <x:c r="J44" s="27" t="n">
        <x:f>LN(1+D44)</x:f>
        <x:v>8.197538739721184</x:v>
      </x:c>
      <x:c r="K44" s="27" t="n">
        <x:f>LN(1+E44)</x:f>
        <x:v>6.840546529288687</x:v>
      </x:c>
      <x:c r="L44" s="27" t="n">
        <x:f>(J44-Method!$C$13)/Method!$D$13</x:f>
        <x:v>0.049420343632690274</x:v>
      </x:c>
      <x:c r="M44" s="27" t="n">
        <x:f>(K44-Method!$C$14)/Method!$D$14</x:f>
        <x:v>-0.015389207636486461</x:v>
      </x:c>
      <x:c r="N44" s="27" t="n">
        <x:f>(H44-Method!$C$15)/Method!$D$15</x:f>
        <x:v>-0.2861487676222712</x:v>
      </x:c>
      <x:c r="O44" s="27" t="n">
        <x:f>(I44-Method!$C$16)/Method!$D$16</x:f>
        <x:v>-0.28454083702339367</x:v>
      </x:c>
      <x:c r="P44" s="27" t="n">
        <x:f>(N44+O44)/2</x:f>
        <x:v>-0.28534480232283244</x:v>
      </x:c>
      <x:c r="Q44" s="27" t="n">
        <x:f>50+10*($L44*Sensitivity!$B$6+$M44*Sensitivity!$C$6+$P44*Sensitivity!$D$6)</x:f>
        <x:v>49.162287778911235</x:v>
      </x:c>
      <x:c r="R44" s="27" t="n">
        <x:f>50+10*($L44*Sensitivity!$B$7+$M44*Sensitivity!$C$7+$P44*Sensitivity!$D$7)</x:f>
        <x:v>49.49526669326515</x:v>
      </x:c>
      <x:c r="S44" s="27" t="n">
        <x:f>50+10*($L44*Sensitivity!$B$8+$M44*Sensitivity!$C$8+$P44*Sensitivity!$D$8)</x:f>
        <x:v>49.33324281509221</x:v>
      </x:c>
      <x:c r="T44" s="27" t="n">
        <x:f>50+10*($L44*Sensitivity!$B$9+$M44*Sensitivity!$C$9+$P44*Sensitivity!$D$9)</x:f>
        <x:v>48.65835382837635</x:v>
      </x:c>
      <x:c r="U44" s="27" t="n">
        <x:f>50+10*($L44*Sensitivity!$B$10+$M44*Sensitivity!$C$10+$P44*Sensitivity!$D$10)</x:f>
        <x:v>49.56543493933915</x:v>
      </x:c>
      <x:c r="V44" s="27" t="n">
        <x:f>50+10*($L44*Sensitivity!$B$11+$M44*Sensitivity!$C$11+$P44*Sensitivity!$D$11)</x:f>
        <x:v>49.295479344652804</x:v>
      </x:c>
      <x:c r="W44" s="27" t="n">
        <x:f>50+10*($L44*Sensitivity!$B$12+$M44*Sensitivity!$C$12+$P44*Sensitivity!$D$12)</x:f>
        <x:v>48.96071419869728</x:v>
      </x:c>
      <x:c r="X44" s="27"/>
      <x:c r="Y44" s="27"/>
      <x:c r="Z44" s="27"/>
    </x:row>
    <x:row r="45">
      <x:c r="A45" s="27" t="str">
        <x:v>FLE_fixed_L03_R01_20260924T180530</x:v>
      </x:c>
      <x:c r="B45" s="27" t="str">
        <x:v>fixed</x:v>
      </x:c>
      <x:c r="C45" s="27" t="n">
        <x:v>3</x:v>
      </x:c>
      <x:c r="D45" s="27" t="n">
        <x:v>5347</x:v>
      </x:c>
      <x:c r="E45" s="27" t="n">
        <x:v>1613</x:v>
      </x:c>
      <x:c r="F45" s="27" t="str">
        <x:v>steam-power, automation-science-pack</x:v>
      </x:c>
      <x:c r="G45" s="27" t="str">
        <x:v>iron-gear-wheel, iron-ore, coal, stone-furnace, stone, iron-plate</x:v>
      </x:c>
      <x:c r="H45" s="27" t="n">
        <x:f>IF(F45="",0,LEN(F45)-LEN(SUBSTITUTE(F45,",",""))+1)</x:f>
        <x:v>2</x:v>
      </x:c>
      <x:c r="I45" s="27" t="n">
        <x:f>IF(G45="",0,LEN(G45)-LEN(SUBSTITUTE(G45,",",""))+1)</x:f>
        <x:v>6</x:v>
      </x:c>
      <x:c r="J45" s="27" t="n">
        <x:f>LN(1+D45)</x:f>
        <x:v>8.584477938221834</x:v>
      </x:c>
      <x:c r="K45" s="27" t="n">
        <x:f>LN(1+E45)</x:f>
        <x:v>7.3864708488298945</x:v>
      </x:c>
      <x:c r="L45" s="27" t="n">
        <x:f>(J45-Method!$C$13)/Method!$D$13</x:f>
        <x:v>0.8125589322424656</x:v>
      </x:c>
      <x:c r="M45" s="27" t="n">
        <x:f>(K45-Method!$C$14)/Method!$D$14</x:f>
        <x:v>0.8085763732925512</x:v>
      </x:c>
      <x:c r="N45" s="27" t="n">
        <x:f>(H45-Method!$C$15)/Method!$D$15</x:f>
        <x:v>-0.2861487676222712</x:v>
      </x:c>
      <x:c r="O45" s="27" t="n">
        <x:f>(I45-Method!$C$16)/Method!$D$16</x:f>
        <x:v>-1.3478250174792328</x:v>
      </x:c>
      <x:c r="P45" s="27" t="n">
        <x:f>(N45+O45)/2</x:f>
        <x:v>-0.816986892550752</x:v>
      </x:c>
      <x:c r="Q45" s="27" t="n">
        <x:f>50+10*($L45*Sensitivity!$B$6+$M45*Sensitivity!$C$6+$P45*Sensitivity!$D$6)</x:f>
        <x:v>52.680494709947546</x:v>
      </x:c>
      <x:c r="R45" s="27" t="n">
        <x:f>50+10*($L45*Sensitivity!$B$7+$M45*Sensitivity!$C$7+$P45*Sensitivity!$D$7)</x:f>
        <x:v>54.04176836306682</x:v>
      </x:c>
      <x:c r="S45" s="27" t="n">
        <x:f>50+10*($L45*Sensitivity!$B$8+$M45*Sensitivity!$C$8+$P45*Sensitivity!$D$8)</x:f>
        <x:v>54.03181196569204</x:v>
      </x:c>
      <x:c r="T45" s="27" t="n">
        <x:f>50+10*($L45*Sensitivity!$B$9+$M45*Sensitivity!$C$9+$P45*Sensitivity!$D$9)</x:f>
        <x:v>49.96790380108378</x:v>
      </x:c>
      <x:c r="U45" s="27" t="n">
        <x:f>50+10*($L45*Sensitivity!$B$10+$M45*Sensitivity!$C$10+$P45*Sensitivity!$D$10)</x:f>
        <x:v>54.85056743703856</x:v>
      </x:c>
      <x:c r="V45" s="27" t="n">
        <x:f>50+10*($L45*Sensitivity!$B$11+$M45*Sensitivity!$C$11+$P45*Sensitivity!$D$11)</x:f>
        <x:v>53.22500417119526</x:v>
      </x:c>
      <x:c r="W45" s="27" t="n">
        <x:f>50+10*($L45*Sensitivity!$B$12+$M45*Sensitivity!$C$12+$P45*Sensitivity!$D$12)</x:f>
        <x:v>51.59545834640204</x:v>
      </x:c>
      <x:c r="X45" s="27"/>
      <x:c r="Y45" s="27"/>
      <x:c r="Z45" s="27"/>
    </x:row>
    <x:row r="46">
      <x:c r="A46" s="27" t="str">
        <x:v>FLE_fixed_L03_R02_20260924T185454</x:v>
      </x:c>
      <x:c r="B46" s="27" t="str">
        <x:v>fixed</x:v>
      </x:c>
      <x:c r="C46" s="27" t="n">
        <x:v>3</x:v>
      </x:c>
      <x:c r="D46" s="27" t="n">
        <x:v>1078</x:v>
      </x:c>
      <x:c r="E46" s="27" t="n">
        <x:v>231</x:v>
      </x:c>
      <x:c r="F46" s="27" t="str">
        <x:v>steam-power, automation-science-pack</x:v>
      </x:c>
      <x:c r="G46" s="27" t="str">
        <x:v>stone, iron-gear-wheel, coal, stone-furnace, burner-mining-drill, wood, iron-ore, iron-plate</x:v>
      </x:c>
      <x:c r="H46" s="27" t="n">
        <x:f>IF(F46="",0,LEN(F46)-LEN(SUBSTITUTE(F46,",",""))+1)</x:f>
        <x:v>2</x:v>
      </x:c>
      <x:c r="I46" s="27" t="n">
        <x:f>IF(G46="",0,LEN(G46)-LEN(SUBSTITUTE(G46,",",""))+1)</x:f>
        <x:v>8</x:v>
      </x:c>
      <x:c r="J46" s="27" t="n">
        <x:f>LN(1+D46)</x:f>
        <x:v>6.983789965258135</x:v>
      </x:c>
      <x:c r="K46" s="27" t="n">
        <x:f>LN(1+E46)</x:f>
        <x:v>5.44673737166631</x:v>
      </x:c>
      <x:c r="L46" s="27" t="n">
        <x:f>(J46-Method!$C$13)/Method!$D$13</x:f>
        <x:v>-2.344388632712255</x:v>
      </x:c>
      <x:c r="M46" s="27" t="n">
        <x:f>(K46-Method!$C$14)/Method!$D$14</x:f>
        <x:v>-2.119070489374748</x:v>
      </x:c>
      <x:c r="N46" s="27" t="n">
        <x:f>(H46-Method!$C$15)/Method!$D$15</x:f>
        <x:v>-0.2861487676222712</x:v>
      </x:c>
      <x:c r="O46" s="27" t="n">
        <x:f>(I46-Method!$C$16)/Method!$D$16</x:f>
        <x:v>0.7787433434324454</x:v>
      </x:c>
      <x:c r="P46" s="27" t="n">
        <x:f>(N46+O46)/2</x:f>
        <x:v>0.24629728790508712</x:v>
      </x:c>
      <x:c r="Q46" s="27" t="n">
        <x:f>50+10*($L46*Sensitivity!$B$6+$M46*Sensitivity!$C$6+$P46*Sensitivity!$D$6)</x:f>
        <x:v>35.94279388606028</x:v>
      </x:c>
      <x:c r="R46" s="27" t="n">
        <x:f>50+10*($L46*Sensitivity!$B$7+$M46*Sensitivity!$C$7+$P46*Sensitivity!$D$7)</x:f>
        <x:v>33.596123832764576</x:v>
      </x:c>
      <x:c r="S46" s="27" t="n">
        <x:f>50+10*($L46*Sensitivity!$B$8+$M46*Sensitivity!$C$8+$P46*Sensitivity!$D$8)</x:f>
        <x:v>34.15941919110834</x:v>
      </x:c>
      <x:c r="T46" s="27" t="n">
        <x:f>50+10*($L46*Sensitivity!$B$9+$M46*Sensitivity!$C$9+$P46*Sensitivity!$D$9)</x:f>
        <x:v>40.07283863430793</x:v>
      </x:c>
      <x:c r="U46" s="27" t="n">
        <x:f>50+10*($L46*Sensitivity!$B$10+$M46*Sensitivity!$C$10+$P46*Sensitivity!$D$10)</x:f>
        <x:v>32.638758087462165</x:v>
      </x:c>
      <x:c r="V46" s="27" t="n">
        <x:f>50+10*($L46*Sensitivity!$B$11+$M46*Sensitivity!$C$11+$P46*Sensitivity!$D$11)</x:f>
        <x:v>35.004125864741994</x:v>
      </x:c>
      <x:c r="W46" s="27" t="n">
        <x:f>50+10*($L46*Sensitivity!$B$12+$M46*Sensitivity!$C$12+$P46*Sensitivity!$D$12)</x:f>
        <x:v>37.59481178535934</x:v>
      </x:c>
      <x:c r="X46" s="27"/>
      <x:c r="Y46" s="27"/>
      <x:c r="Z46" s="27"/>
    </x:row>
    <x:row r="47">
      <x:c r="A47" s="27" t="str">
        <x:v>FLE_fixed_L03_R03_20260924T193549</x:v>
      </x:c>
      <x:c r="B47" s="27" t="str">
        <x:v>fixed</x:v>
      </x:c>
      <x:c r="C47" s="27" t="n">
        <x:v>3</x:v>
      </x:c>
      <x:c r="D47" s="27" t="n">
        <x:v>2493</x:v>
      </x:c>
      <x:c r="E47" s="27" t="n">
        <x:v>795</x:v>
      </x:c>
      <x:c r="F47" s="27" t="str">
        <x:v>automation-science-pack, steam-power</x:v>
      </x:c>
      <x:c r="G47" s="27" t="str">
        <x:v>stone-furnace, stone, wooden-chest, iron-ore, burner-mining-drill, iron-gear-wheel, wood, iron-plate, coal</x:v>
      </x:c>
      <x:c r="H47" s="27" t="n">
        <x:f>IF(F47="",0,LEN(F47)-LEN(SUBSTITUTE(F47,",",""))+1)</x:f>
        <x:v>2</x:v>
      </x:c>
      <x:c r="I47" s="27" t="n">
        <x:f>IF(G47="",0,LEN(G47)-LEN(SUBSTITUTE(G47,",",""))+1)</x:f>
        <x:v>9</x:v>
      </x:c>
      <x:c r="J47" s="27" t="n">
        <x:f>LN(1+D47)</x:f>
        <x:v>7.821643126239982</x:v>
      </x:c>
      <x:c r="K47" s="27" t="n">
        <x:f>LN(1+E47)</x:f>
        <x:v>6.679599185844383</x:v>
      </x:c>
      <x:c r="L47" s="27" t="n">
        <x:f>(J47-Method!$C$13)/Method!$D$13</x:f>
        <x:v>-0.6919375985148216</x:v>
      </x:c>
      <x:c r="M47" s="27" t="n">
        <x:f>(K47-Method!$C$14)/Method!$D$14</x:f>
        <x:v>-0.2583076243348317</x:v>
      </x:c>
      <x:c r="N47" s="27" t="n">
        <x:f>(H47-Method!$C$15)/Method!$D$15</x:f>
        <x:v>-0.2861487676222712</x:v>
      </x:c>
      <x:c r="O47" s="27" t="n">
        <x:f>(I47-Method!$C$16)/Method!$D$16</x:f>
        <x:v>1.8420275238882846</x:v>
      </x:c>
      <x:c r="P47" s="27" t="n">
        <x:f>(N47+O47)/2</x:f>
        <x:v>0.7779393781330067</x:v>
      </x:c>
      <x:c r="Q47" s="27" t="n">
        <x:f>50+10*($L47*Sensitivity!$B$6+$M47*Sensitivity!$C$6+$P47*Sensitivity!$D$6)</x:f>
        <x:v>49.42564718427784</x:v>
      </x:c>
      <x:c r="R47" s="27" t="n">
        <x:f>50+10*($L47*Sensitivity!$B$7+$M47*Sensitivity!$C$7+$P47*Sensitivity!$D$7)</x:f>
        <x:v>47.83939139192133</x:v>
      </x:c>
      <x:c r="S47" s="27" t="n">
        <x:f>50+10*($L47*Sensitivity!$B$8+$M47*Sensitivity!$C$8+$P47*Sensitivity!$D$8)</x:f>
        <x:v>48.9234663273713</x:v>
      </x:c>
      <x:c r="T47" s="27" t="n">
        <x:f>50+10*($L47*Sensitivity!$B$9+$M47*Sensitivity!$C$9+$P47*Sensitivity!$D$9)</x:f>
        <x:v>51.5140838335409</x:v>
      </x:c>
      <x:c r="U47" s="27" t="n">
        <x:f>50+10*($L47*Sensitivity!$B$10+$M47*Sensitivity!$C$10+$P47*Sensitivity!$D$10)</x:f>
        <x:v>47.7548978648674</x:v>
      </x:c>
      <x:c r="V47" s="27" t="n">
        <x:f>50+10*($L47*Sensitivity!$B$11+$M47*Sensitivity!$C$11+$P47*Sensitivity!$D$11)</x:f>
        <x:v>48.79114486733524</x:v>
      </x:c>
      <x:c r="W47" s="27" t="n">
        <x:f>50+10*($L47*Sensitivity!$B$12+$M47*Sensitivity!$C$12+$P47*Sensitivity!$D$12)</x:f>
        <x:v>50.261021843983066</x:v>
      </x:c>
      <x:c r="X47" s="27"/>
      <x:c r="Y47" s="27"/>
      <x:c r="Z47" s="27"/>
    </x:row>
    <x:row r="48">
      <x:c r="A48" s="27" t="str">
        <x:v>FLE_fixed_L04_R01_20260925T072545</x:v>
      </x:c>
      <x:c r="B48" s="27" t="str">
        <x:v>fixed</x:v>
      </x:c>
      <x:c r="C48" s="27" t="n">
        <x:v>4</x:v>
      </x:c>
      <x:c r="D48" s="27" t="n">
        <x:v>4013</x:v>
      </x:c>
      <x:c r="E48" s="27" t="n">
        <x:v>1291</x:v>
      </x:c>
      <x:c r="F48" s="27" t="str">
        <x:v>automation-science-pack, steam-power</x:v>
      </x:c>
      <x:c r="G48" s="27" t="str">
        <x:v>iron-gear-wheel, coal, burner-mining-drill, stone-furnace, iron-ore, stone, iron-plate</x:v>
      </x:c>
      <x:c r="H48" s="27" t="n">
        <x:f>IF(F48="",0,LEN(F48)-LEN(SUBSTITUTE(F48,",",""))+1)</x:f>
        <x:v>2</x:v>
      </x:c>
      <x:c r="I48" s="27" t="n">
        <x:f>IF(G48="",0,LEN(G48)-LEN(SUBSTITUTE(G48,",",""))+1)</x:f>
        <x:v>7</x:v>
      </x:c>
      <x:c r="J48" s="27" t="n">
        <x:f>LN(1+D48)</x:f>
        <x:v>8.297543529356284</x:v>
      </x:c>
      <x:c r="K48" s="27" t="n">
        <x:f>LN(1+E48)</x:f>
        <x:v>7.163946684342547</x:v>
      </x:c>
      <x:c r="L48" s="27" t="n">
        <x:f>(J48-Method!$C$13)/Method!$D$13</x:f>
        <x:v>0.24665420960458112</x:v>
      </x:c>
      <x:c r="M48" s="27" t="n">
        <x:f>(K48-Method!$C$14)/Method!$D$14</x:f>
        <x:v>0.4727198343923344</x:v>
      </x:c>
      <x:c r="N48" s="27" t="n">
        <x:f>(H48-Method!$C$15)/Method!$D$15</x:f>
        <x:v>-0.2861487676222712</x:v>
      </x:c>
      <x:c r="O48" s="27" t="n">
        <x:f>(I48-Method!$C$16)/Method!$D$16</x:f>
        <x:v>-0.28454083702339367</x:v>
      </x:c>
      <x:c r="P48" s="27" t="n">
        <x:f>(N48+O48)/2</x:f>
        <x:v>-0.28534480232283244</x:v>
      </x:c>
      <x:c r="Q48" s="27" t="n">
        <x:f>50+10*($L48*Sensitivity!$B$6+$M48*Sensitivity!$C$6+$P48*Sensitivity!$D$6)</x:f>
        <x:v>51.44676413891361</x:v>
      </x:c>
      <x:c r="R48" s="27" t="n">
        <x:f>50+10*($L48*Sensitivity!$B$7+$M48*Sensitivity!$C$7+$P48*Sensitivity!$D$7)</x:f>
        <x:v>51.70170862819666</x:v>
      </x:c>
      <x:c r="S48" s="27" t="n">
        <x:f>50+10*($L48*Sensitivity!$B$8+$M48*Sensitivity!$C$8+$P48*Sensitivity!$D$8)</x:f>
        <x:v>52.266872690166046</x:v>
      </x:c>
      <x:c r="T48" s="27" t="n">
        <x:f>50+10*($L48*Sensitivity!$B$9+$M48*Sensitivity!$C$9+$P48*Sensitivity!$D$9)</x:f>
        <x:v>50.37171109837813</x:v>
      </x:c>
      <x:c r="U48" s="27" t="n">
        <x:f>50+10*($L48*Sensitivity!$B$10+$M48*Sensitivity!$C$10+$P48*Sensitivity!$D$10)</x:f>
        <x:v>52.306806571341994</x:v>
      </x:c>
      <x:c r="V48" s="27" t="n">
        <x:f>50+10*($L48*Sensitivity!$B$11+$M48*Sensitivity!$C$11+$P48*Sensitivity!$D$11)</x:f>
        <x:v>51.54874193462683</x:v>
      </x:c>
      <x:c r="W48" s="27" t="n">
        <x:f>50+10*($L48*Sensitivity!$B$12+$M48*Sensitivity!$C$12+$P48*Sensitivity!$D$12)</x:f>
        <x:v>51.016742922699414</x:v>
      </x:c>
      <x:c r="X48" s="27"/>
      <x:c r="Y48" s="27"/>
      <x:c r="Z48" s="27"/>
    </x:row>
    <x:row r="49">
      <x:c r="A49" s="27" t="str">
        <x:v>FLE_fixed_L04_R02_20260925T081127</x:v>
      </x:c>
      <x:c r="B49" s="27" t="str">
        <x:v>fixed</x:v>
      </x:c>
      <x:c r="C49" s="27" t="n">
        <x:v>4</x:v>
      </x:c>
      <x:c r="D49" s="27" t="n">
        <x:v>1998</x:v>
      </x:c>
      <x:c r="E49" s="27" t="n">
        <x:v>304</x:v>
      </x:c>
      <x:c r="F49" s="27" t="str">
        <x:v>automation-science-pack, steam-power</x:v>
      </x:c>
      <x:c r="G49" s="27" t="str">
        <x:v>stone, wood, coal, iron-ore, stone-furnace, iron-plate, iron-gear-wheel, burner-mining-drill</x:v>
      </x:c>
      <x:c r="H49" s="27" t="n">
        <x:f>IF(F49="",0,LEN(F49)-LEN(SUBSTITUTE(F49,",",""))+1)</x:f>
        <x:v>2</x:v>
      </x:c>
      <x:c r="I49" s="27" t="n">
        <x:f>IF(G49="",0,LEN(G49)-LEN(SUBSTITUTE(G49,",",""))+1)</x:f>
        <x:v>8</x:v>
      </x:c>
      <x:c r="J49" s="27" t="n">
        <x:f>LN(1+D49)</x:f>
        <x:v>7.6004023345004</x:v>
      </x:c>
      <x:c r="K49" s="27" t="n">
        <x:f>LN(1+E49)</x:f>
        <x:v>5.720311776607412</x:v>
      </x:c>
      <x:c r="L49" s="27" t="n">
        <x:f>(J49-Method!$C$13)/Method!$D$13</x:f>
        <x:v>-1.1282784660342702</x:v>
      </x:c>
      <x:c r="M49" s="27" t="n">
        <x:f>(K49-Method!$C$14)/Method!$D$14</x:f>
        <x:v>-1.7061636350253215</x:v>
      </x:c>
      <x:c r="N49" s="27" t="n">
        <x:f>(H49-Method!$C$15)/Method!$D$15</x:f>
        <x:v>-0.2861487676222712</x:v>
      </x:c>
      <x:c r="O49" s="27" t="n">
        <x:f>(I49-Method!$C$16)/Method!$D$16</x:f>
        <x:v>0.7787433434324454</x:v>
      </x:c>
      <x:c r="P49" s="27" t="n">
        <x:f>(N49+O49)/2</x:f>
        <x:v>0.24629728790508712</x:v>
      </x:c>
      <x:c r="Q49" s="27" t="n">
        <x:f>50+10*($L49*Sensitivity!$B$6+$M49*Sensitivity!$C$6+$P49*Sensitivity!$D$6)</x:f>
        <x:v>41.37285062281832</x:v>
      </x:c>
      <x:c r="R49" s="27" t="n">
        <x:f>50+10*($L49*Sensitivity!$B$7+$M49*Sensitivity!$C$7+$P49*Sensitivity!$D$7)</x:f>
        <x:v>40.708941802028065</x:v>
      </x:c>
      <x:c r="S49" s="27" t="n">
        <x:f>50+10*($L49*Sensitivity!$B$8+$M49*Sensitivity!$C$8+$P49*Sensitivity!$D$8)</x:f>
        <x:v>39.26422887955044</x:v>
      </x:c>
      <x:c r="T49" s="27" t="n">
        <x:f>50+10*($L49*Sensitivity!$B$9+$M49*Sensitivity!$C$9+$P49*Sensitivity!$D$9)</x:f>
        <x:v>44.145381186876456</x:v>
      </x:c>
      <x:c r="U49" s="27" t="n">
        <x:f>50+10*($L49*Sensitivity!$B$10+$M49*Sensitivity!$C$10+$P49*Sensitivity!$D$10)</x:f>
        <x:v>39.154826171571806</x:v>
      </x:c>
      <x:c r="V49" s="27" t="n">
        <x:f>50+10*($L49*Sensitivity!$B$11+$M49*Sensitivity!$C$11+$P49*Sensitivity!$D$11)</x:f>
        <x:v>41.10728709450221</x:v>
      </x:c>
      <x:c r="W49" s="27" t="n">
        <x:f>50+10*($L49*Sensitivity!$B$12+$M49*Sensitivity!$C$12+$P49*Sensitivity!$D$12)</x:f>
        <x:v>42.48186284844157</x:v>
      </x:c>
      <x:c r="X49" s="27"/>
      <x:c r="Y49" s="27"/>
      <x:c r="Z49" s="27"/>
    </x:row>
    <x:row r="50">
      <x:c r="A50" s="27" t="str">
        <x:v>FLE_fixed_L04_R03_20260925T085328</x:v>
      </x:c>
      <x:c r="B50" s="27" t="str">
        <x:v>fixed</x:v>
      </x:c>
      <x:c r="C50" s="27" t="n">
        <x:v>4</x:v>
      </x:c>
      <x:c r="D50" s="27" t="n">
        <x:v>4332</x:v>
      </x:c>
      <x:c r="E50" s="27" t="n">
        <x:v>931</x:v>
      </x:c>
      <x:c r="F50" s="27" t="str">
        <x:v>steam-power, automation-science-pack</x:v>
      </x:c>
      <x:c r="G50" s="27" t="str">
        <x:v>iron-plate, stone, iron-ore, iron-gear-wheel, coal, burner-mining-drill, stone-furnace</x:v>
      </x:c>
      <x:c r="H50" s="27" t="n">
        <x:f>IF(F50="",0,LEN(F50)-LEN(SUBSTITUTE(F50,",",""))+1)</x:f>
        <x:v>2</x:v>
      </x:c>
      <x:c r="I50" s="27" t="n">
        <x:f>IF(G50="",0,LEN(G50)-LEN(SUBSTITUTE(G50,",",""))+1)</x:f>
        <x:v>7</x:v>
      </x:c>
      <x:c r="J50" s="27" t="n">
        <x:f>LN(1+D50)</x:f>
        <x:v>8.374015421739909</x:v>
      </x:c>
      <x:c r="K50" s="27" t="n">
        <x:f>LN(1+E50)</x:f>
        <x:v>6.837332814685591</x:v>
      </x:c>
      <x:c r="L50" s="27" t="n">
        <x:f>(J50-Method!$C$13)/Method!$D$13</x:f>
        <x:v>0.3974754555473328</x:v>
      </x:c>
      <x:c r="M50" s="27" t="n">
        <x:f>(K50-Method!$C$14)/Method!$D$14</x:f>
        <x:v>-0.020239678892476312</x:v>
      </x:c>
      <x:c r="N50" s="27" t="n">
        <x:f>(H50-Method!$C$15)/Method!$D$15</x:f>
        <x:v>-0.2861487676222712</x:v>
      </x:c>
      <x:c r="O50" s="27" t="n">
        <x:f>(I50-Method!$C$16)/Method!$D$16</x:f>
        <x:v>-0.28454083702339367</x:v>
      </x:c>
      <x:c r="P50" s="27" t="n">
        <x:f>(N50+O50)/2</x:f>
        <x:v>-0.28534480232283244</x:v>
      </x:c>
      <x:c r="Q50" s="27" t="n">
        <x:f>50+10*($L50*Sensitivity!$B$6+$M50*Sensitivity!$C$6+$P50*Sensitivity!$D$6)</x:f>
        <x:v>50.306303247773414</x:v>
      </x:c>
      <x:c r="R50" s="27" t="n">
        <x:f>50+10*($L50*Sensitivity!$B$7+$M50*Sensitivity!$C$7+$P50*Sensitivity!$D$7)</x:f>
        <x:v>51.22341607469839</x:v>
      </x:c>
      <x:c r="S50" s="27" t="n">
        <x:f>50+10*($L50*Sensitivity!$B$8+$M50*Sensitivity!$C$8+$P50*Sensitivity!$D$8)</x:f>
        <x:v>50.17912823859887</x:v>
      </x:c>
      <x:c r="T50" s="27" t="n">
        <x:f>50+10*($L50*Sensitivity!$B$9+$M50*Sensitivity!$C$9+$P50*Sensitivity!$D$9)</x:f>
        <x:v>49.51636543002298</x:v>
      </x:c>
      <x:c r="U50" s="27" t="n">
        <x:f>50+10*($L50*Sensitivity!$B$10+$M50*Sensitivity!$C$10+$P50*Sensitivity!$D$10)</x:f>
        <x:v>50.93825350197376</x:v>
      </x:c>
      <x:c r="V50" s="27" t="n">
        <x:f>50+10*($L50*Sensitivity!$B$11+$M50*Sensitivity!$C$11+$P50*Sensitivity!$D$11)</x:f>
        <x:v>50.6731483785434</x:v>
      </x:c>
      <x:c r="W50" s="27" t="n">
        <x:f>50+10*($L50*Sensitivity!$B$12+$M50*Sensitivity!$C$12+$P50*Sensitivity!$D$12)</x:f>
        <x:v>49.99032812067324</x:v>
      </x:c>
      <x:c r="X50" s="27"/>
      <x:c r="Y50" s="27"/>
      <x:c r="Z50" s="27"/>
    </x:row>
    <x:row r="51">
      <x:c r="A51" s="27" t="str">
        <x:v>FLE_fixed_L05_R01_20260925T112415</x:v>
      </x:c>
      <x:c r="B51" s="27" t="str">
        <x:v>fixed</x:v>
      </x:c>
      <x:c r="C51" s="27" t="n">
        <x:v>5</x:v>
      </x:c>
      <x:c r="D51" s="27" t="n">
        <x:v>5737</x:v>
      </x:c>
      <x:c r="E51" s="27" t="n">
        <x:v>1711</x:v>
      </x:c>
      <x:c r="F51" s="27" t="str">
        <x:v>steam-power, automation-science-pack</x:v>
      </x:c>
      <x:c r="G51" s="27" t="str">
        <x:v>iron-plate, iron-ore, iron-gear-wheel, burner-mining-drill, stone, stone-furnace, coal</x:v>
      </x:c>
      <x:c r="H51" s="27" t="n">
        <x:f>IF(F51="",0,LEN(F51)-LEN(SUBSTITUTE(F51,",",""))+1)</x:f>
        <x:v>2</x:v>
      </x:c>
      <x:c r="I51" s="27" t="n">
        <x:f>IF(G51="",0,LEN(G51)-LEN(SUBSTITUTE(G51,",",""))+1)</x:f>
        <x:v>7</x:v>
      </x:c>
      <x:c r="J51" s="27" t="n">
        <x:f>LN(1+D51)</x:f>
        <x:v>8.65486599654131</x:v>
      </x:c>
      <x:c r="K51" s="27" t="n">
        <x:f>LN(1+E51)</x:f>
        <x:v>7.445417556701687</x:v>
      </x:c>
      <x:c r="L51" s="27" t="n">
        <x:f>(J51-Method!$C$13)/Method!$D$13</x:f>
        <x:v>0.9513813717602279</x:v>
      </x:c>
      <x:c r="M51" s="27" t="n">
        <x:f>(K51-Method!$C$14)/Method!$D$14</x:f>
        <x:v>0.8975448560233704</x:v>
      </x:c>
      <x:c r="N51" s="27" t="n">
        <x:f>(H51-Method!$C$15)/Method!$D$15</x:f>
        <x:v>-0.2861487676222712</x:v>
      </x:c>
      <x:c r="O51" s="27" t="n">
        <x:f>(I51-Method!$C$16)/Method!$D$16</x:f>
        <x:v>-0.28454083702339367</x:v>
      </x:c>
      <x:c r="P51" s="27" t="n">
        <x:f>(N51+O51)/2</x:f>
        <x:v>-0.28534480232283244</x:v>
      </x:c>
      <x:c r="Q51" s="27" t="n">
        <x:f>50+10*($L51*Sensitivity!$B$6+$M51*Sensitivity!$C$6+$P51*Sensitivity!$D$6)</x:f>
        <x:v>55.21193808486922</x:v>
      </x:c>
      <x:c r="R51" s="27" t="n">
        <x:f>50+10*($L51*Sensitivity!$B$7+$M51*Sensitivity!$C$7+$P51*Sensitivity!$D$7)</x:f>
        <x:v>56.287406993052485</x:v>
      </x:c>
      <x:c r="S51" s="27" t="n">
        <x:f>50+10*($L51*Sensitivity!$B$8+$M51*Sensitivity!$C$8+$P51*Sensitivity!$D$8)</x:f>
        <x:v>56.15281570371034</x:v>
      </x:c>
      <x:c r="T51" s="27" t="n">
        <x:f>50+10*($L51*Sensitivity!$B$9+$M51*Sensitivity!$C$9+$P51*Sensitivity!$D$9)</x:f>
        <x:v>53.195591557844836</x:v>
      </x:c>
      <x:c r="U51" s="27" t="n">
        <x:f>50+10*($L51*Sensitivity!$B$10+$M51*Sensitivity!$C$10+$P51*Sensitivity!$D$10)</x:f>
        <x:v>56.82501530648873</x:v>
      </x:c>
      <x:c r="V51" s="27" t="n">
        <x:f>50+10*($L51*Sensitivity!$B$11+$M51*Sensitivity!$C$11+$P51*Sensitivity!$D$11)</x:f>
        <x:v>55.642125648142525</x:v>
      </x:c>
      <x:c r="W51" s="27" t="n">
        <x:f>50+10*($L51*Sensitivity!$B$12+$M51*Sensitivity!$C$12+$P51*Sensitivity!$D$12)</x:f>
        <x:v>54.405399474059465</x:v>
      </x:c>
      <x:c r="X51" s="27"/>
      <x:c r="Y51" s="27"/>
      <x:c r="Z51" s="27"/>
    </x:row>
    <x:row r="52">
      <x:c r="A52" s="27" t="str">
        <x:v>FLE_fixed_L05_R02_20260925T121312</x:v>
      </x:c>
      <x:c r="B52" s="27" t="str">
        <x:v>fixed</x:v>
      </x:c>
      <x:c r="C52" s="27" t="n">
        <x:v>5</x:v>
      </x:c>
      <x:c r="D52" s="27" t="n">
        <x:v>2205</x:v>
      </x:c>
      <x:c r="E52" s="27" t="n">
        <x:v>555</x:v>
      </x:c>
      <x:c r="F52" s="27" t="str">
        <x:v>automation-science-pack, steam-power</x:v>
      </x:c>
      <x:c r="G52" s="27" t="str">
        <x:v>burner-mining-drill, coal, stone-furnace, iron-gear-wheel, iron-ore, stone, iron-plate</x:v>
      </x:c>
      <x:c r="H52" s="27" t="n">
        <x:f>IF(F52="",0,LEN(F52)-LEN(SUBSTITUTE(F52,",",""))+1)</x:f>
        <x:v>2</x:v>
      </x:c>
      <x:c r="I52" s="27" t="n">
        <x:f>IF(G52="",0,LEN(G52)-LEN(SUBSTITUTE(G52,",",""))+1)</x:f>
        <x:v>7</x:v>
      </x:c>
      <x:c r="J52" s="27" t="n">
        <x:f>LN(1+D52)</x:f>
        <x:v>7.698936199813447</x:v>
      </x:c>
      <x:c r="K52" s="27" t="n">
        <x:f>LN(1+E52)</x:f>
        <x:v>6.320768294250582</x:v>
      </x:c>
      <x:c r="L52" s="27" t="n">
        <x:f>(J52-Method!$C$13)/Method!$D$13</x:f>
        <x:v>-0.9339456220199194</x:v>
      </x:c>
      <x:c r="M52" s="27" t="n">
        <x:f>(K52-Method!$C$14)/Method!$D$14</x:f>
        <x:v>-0.7998924071777096</x:v>
      </x:c>
      <x:c r="N52" s="27" t="n">
        <x:f>(H52-Method!$C$15)/Method!$D$15</x:f>
        <x:v>-0.2861487676222712</x:v>
      </x:c>
      <x:c r="O52" s="27" t="n">
        <x:f>(I52-Method!$C$16)/Method!$D$16</x:f>
        <x:v>-0.28454083702339367</x:v>
      </x:c>
      <x:c r="P52" s="27" t="n">
        <x:f>(N52+O52)/2</x:f>
        <x:v>-0.28534480232283244</x:v>
      </x:c>
      <x:c r="Q52" s="27" t="n">
        <x:f>50+10*($L52*Sensitivity!$B$6+$M52*Sensitivity!$C$6+$P52*Sensitivity!$D$6)</x:f>
        <x:v>43.26939056159846</x:v>
      </x:c>
      <x:c r="R52" s="27" t="n">
        <x:f>50+10*($L52*Sensitivity!$B$7+$M52*Sensitivity!$C$7+$P52*Sensitivity!$D$7)</x:f>
        <x:v>42.61717886614905</x:v>
      </x:c>
      <x:c r="S52" s="27" t="n">
        <x:f>50+10*($L52*Sensitivity!$B$8+$M52*Sensitivity!$C$8+$P52*Sensitivity!$D$8)</x:f>
        <x:v>42.95231190325457</x:v>
      </x:c>
      <x:c r="T52" s="27" t="n">
        <x:f>50+10*($L52*Sensitivity!$B$9+$M52*Sensitivity!$C$9+$P52*Sensitivity!$D$9)</x:f>
        <x:v>44.23868091539177</x:v>
      </x:c>
      <x:c r="U52" s="27" t="n">
        <x:f>50+10*($L52*Sensitivity!$B$10+$M52*Sensitivity!$C$10+$P52*Sensitivity!$D$10)</x:f>
        <x:v>42.49395827856382</x:v>
      </x:c>
      <x:c r="V52" s="27" t="n">
        <x:f>50+10*($L52*Sensitivity!$B$11+$M52*Sensitivity!$C$11+$P52*Sensitivity!$D$11)</x:f>
        <x:v>43.00850588341869</x:v>
      </x:c>
      <x:c r="W52" s="27" t="n">
        <x:f>50+10*($L52*Sensitivity!$B$12+$M52*Sensitivity!$C$12+$P52*Sensitivity!$D$12)</x:f>
        <x:v>43.65710670311579</x:v>
      </x:c>
      <x:c r="X52" s="27"/>
      <x:c r="Y52" s="27"/>
      <x:c r="Z52" s="27"/>
    </x:row>
    <x:row r="53">
      <x:c r="A53" s="27" t="str">
        <x:v>FLE_fixed_L05_R03_20260925T125532</x:v>
      </x:c>
      <x:c r="B53" s="27" t="str">
        <x:v>fixed</x:v>
      </x:c>
      <x:c r="C53" s="27" t="n">
        <x:v>5</x:v>
      </x:c>
      <x:c r="D53" s="27" t="n">
        <x:v>4368</x:v>
      </x:c>
      <x:c r="E53" s="27" t="n">
        <x:v>1269</x:v>
      </x:c>
      <x:c r="F53" s="27" t="str">
        <x:v>steam-power, automation-science-pack</x:v>
      </x:c>
      <x:c r="G53" s="27" t="str">
        <x:v>wood, coal, burner-mining-drill, iron-plate, stone, iron-gear-wheel, stone-furnace, iron-ore</x:v>
      </x:c>
      <x:c r="H53" s="27" t="n">
        <x:f>IF(F53="",0,LEN(F53)-LEN(SUBSTITUTE(F53,",",""))+1)</x:f>
        <x:v>2</x:v>
      </x:c>
      <x:c r="I53" s="27" t="n">
        <x:f>IF(G53="",0,LEN(G53)-LEN(SUBSTITUTE(G53,",",""))+1)</x:f>
        <x:v>8</x:v>
      </x:c>
      <x:c r="J53" s="27" t="n">
        <x:f>LN(1+D53)</x:f>
        <x:v>8.382289428951436</x:v>
      </x:c>
      <x:c r="K53" s="27" t="n">
        <x:f>LN(1+E53)</x:f>
        <x:v>7.146772179452637</x:v>
      </x:c>
      <x:c r="L53" s="27" t="n">
        <x:f>(J53-Method!$C$13)/Method!$D$13</x:f>
        <x:v>0.4137938182513936</x:v>
      </x:c>
      <x:c r="M53" s="27" t="n">
        <x:f>(K53-Method!$C$14)/Method!$D$14</x:f>
        <x:v>0.4467982910716851</x:v>
      </x:c>
      <x:c r="N53" s="27" t="n">
        <x:f>(H53-Method!$C$15)/Method!$D$15</x:f>
        <x:v>-0.2861487676222712</x:v>
      </x:c>
      <x:c r="O53" s="27" t="n">
        <x:f>(I53-Method!$C$16)/Method!$D$16</x:f>
        <x:v>0.7787433434324454</x:v>
      </x:c>
      <x:c r="P53" s="27" t="n">
        <x:f>(N53+O53)/2</x:f>
        <x:v>0.24629728790508712</x:v>
      </x:c>
      <x:c r="Q53" s="27" t="n">
        <x:f>50+10*($L53*Sensitivity!$B$6+$M53*Sensitivity!$C$6+$P53*Sensitivity!$D$6)</x:f>
        <x:v>53.68963132409389</x:v>
      </x:c>
      <x:c r="R53" s="27" t="n">
        <x:f>50+10*($L53*Sensitivity!$B$7+$M53*Sensitivity!$C$7+$P53*Sensitivity!$D$7)</x:f>
        <x:v>53.8017080386989</x:v>
      </x:c>
      <x:c r="S53" s="27" t="n">
        <x:f>50+10*($L53*Sensitivity!$B$8+$M53*Sensitivity!$C$8+$P53*Sensitivity!$D$8)</x:f>
        <x:v>53.88421922074963</x:v>
      </x:c>
      <x:c r="T53" s="27" t="n">
        <x:f>50+10*($L53*Sensitivity!$B$9+$M53*Sensitivity!$C$9+$P53*Sensitivity!$D$9)</x:f>
        <x:v>53.38296671283313</x:v>
      </x:c>
      <x:c r="U53" s="27" t="n">
        <x:f>50+10*($L53*Sensitivity!$B$10+$M53*Sensitivity!$C$10+$P53*Sensitivity!$D$10)</x:f>
        <x:v>53.93496301310249</x:v>
      </x:c>
      <x:c r="V53" s="27" t="n">
        <x:f>50+10*($L53*Sensitivity!$B$11+$M53*Sensitivity!$C$11+$P53*Sensitivity!$D$11)</x:f>
        <x:v>53.73446200993589</x:v>
      </x:c>
      <x:c r="W53" s="27" t="n">
        <x:f>50+10*($L53*Sensitivity!$B$12+$M53*Sensitivity!$C$12+$P53*Sensitivity!$D$12)</x:f>
        <x:v>53.566965479589584</x:v>
      </x:c>
      <x:c r="X53" s="27"/>
      <x:c r="Y53" s="27"/>
      <x:c r="Z53" s="27"/>
    </x:row>
    <x:row r="54">
      <x:c r="A54" s="27" t="str">
        <x:v>FLE_fixed_L06_R01_20260925T143646</x:v>
      </x:c>
      <x:c r="B54" s="27" t="str">
        <x:v>fixed</x:v>
      </x:c>
      <x:c r="C54" s="27" t="n">
        <x:v>6</x:v>
      </x:c>
      <x:c r="D54" s="27" t="n">
        <x:v>4973</x:v>
      </x:c>
      <x:c r="E54" s="27" t="n">
        <x:v>1590</x:v>
      </x:c>
      <x:c r="F54" s="27" t="str">
        <x:v>automation-science-pack, steam-power</x:v>
      </x:c>
      <x:c r="G54" s="27" t="str">
        <x:v>iron-ore, stone, stone-furnace, burner-mining-drill, iron-gear-wheel, coal, iron-plate</x:v>
      </x:c>
      <x:c r="H54" s="27" t="n">
        <x:f>IF(F54="",0,LEN(F54)-LEN(SUBSTITUTE(F54,",",""))+1)</x:f>
        <x:v>2</x:v>
      </x:c>
      <x:c r="I54" s="27" t="n">
        <x:f>IF(G54="",0,LEN(G54)-LEN(SUBSTITUTE(G54,",",""))+1)</x:f>
        <x:v>7</x:v>
      </x:c>
      <x:c r="J54" s="27" t="n">
        <x:f>LN(1+D54)</x:f>
        <x:v>8.51197962436335</x:v>
      </x:c>
      <x:c r="K54" s="27" t="n">
        <x:f>LN(1+E54)</x:f>
        <x:v>7.372118028337787</x:v>
      </x:c>
      <x:c r="L54" s="27" t="n">
        <x:f>(J54-Method!$C$13)/Method!$D$13</x:f>
        <x:v>0.6695745534849366</x:v>
      </x:c>
      <x:c r="M54" s="27" t="n">
        <x:f>(K54-Method!$C$14)/Method!$D$14</x:f>
        <x:v>0.7869136085989239</x:v>
      </x:c>
      <x:c r="N54" s="27" t="n">
        <x:f>(H54-Method!$C$15)/Method!$D$15</x:f>
        <x:v>-0.2861487676222712</x:v>
      </x:c>
      <x:c r="O54" s="27" t="n">
        <x:f>(I54-Method!$C$16)/Method!$D$16</x:f>
        <x:v>-0.28454083702339367</x:v>
      </x:c>
      <x:c r="P54" s="27" t="n">
        <x:f>(N54+O54)/2</x:f>
        <x:v>-0.28534480232283244</x:v>
      </x:c>
      <x:c r="Q54" s="27" t="n">
        <x:f>50+10*($L54*Sensitivity!$B$6+$M54*Sensitivity!$C$6+$P54*Sensitivity!$D$6)</x:f>
        <x:v>53.903811199203425</x:v>
      </x:c>
      <x:c r="R54" s="27" t="n">
        <x:f>50+10*($L54*Sensitivity!$B$7+$M54*Sensitivity!$C$7+$P54*Sensitivity!$D$7)</x:f>
        <x:v>54.60179478311491</x:v>
      </x:c>
      <x:c r="S54" s="27" t="n">
        <x:f>50+10*($L54*Sensitivity!$B$8+$M54*Sensitivity!$C$8+$P54*Sensitivity!$D$8)</x:f>
        <x:v>54.89514242089988</x:v>
      </x:c>
      <x:c r="T54" s="27" t="n">
        <x:f>50+10*($L54*Sensitivity!$B$9+$M54*Sensitivity!$C$9+$P54*Sensitivity!$D$9)</x:f>
        <x:v>52.21449639359549</x:v>
      </x:c>
      <x:c r="U54" s="27" t="n">
        <x:f>50+10*($L54*Sensitivity!$B$10+$M54*Sensitivity!$C$10+$P54*Sensitivity!$D$10)</x:f>
        <x:v>55.25526304368978</x:v>
      </x:c>
      <x:c r="V54" s="27" t="n">
        <x:f>50+10*($L54*Sensitivity!$B$11+$M54*Sensitivity!$C$11+$P54*Sensitivity!$D$11)</x:f>
        <x:v>54.18300463276802</x:v>
      </x:c>
      <x:c r="W54" s="27" t="n">
        <x:f>50+10*($L54*Sensitivity!$B$12+$M54*Sensitivity!$C$12+$P54*Sensitivity!$D$12)</x:f>
        <x:v>53.22808527696025</x:v>
      </x:c>
      <x:c r="X54" s="27"/>
      <x:c r="Y54" s="27"/>
      <x:c r="Z54" s="27"/>
    </x:row>
    <x:row r="55">
      <x:c r="A55" s="27" t="str">
        <x:v>FLE_fixed_L06_R02_20260925T152405</x:v>
      </x:c>
      <x:c r="B55" s="27" t="str">
        <x:v>fixed</x:v>
      </x:c>
      <x:c r="C55" s="27" t="n">
        <x:v>6</x:v>
      </x:c>
      <x:c r="D55" s="27" t="n">
        <x:v>2900</x:v>
      </x:c>
      <x:c r="E55" s="27" t="n">
        <x:v>830</x:v>
      </x:c>
      <x:c r="F55" s="27" t="str">
        <x:v>steam-power, automation-science-pack</x:v>
      </x:c>
      <x:c r="G55" s="27" t="str">
        <x:v>coal, iron-plate, iron-gear-wheel, stone, stone-furnace, iron-ore, burner-mining-drill</x:v>
      </x:c>
      <x:c r="H55" s="27" t="n">
        <x:f>IF(F55="",0,LEN(F55)-LEN(SUBSTITUTE(F55,",",""))+1)</x:f>
        <x:v>2</x:v>
      </x:c>
      <x:c r="I55" s="27" t="n">
        <x:f>IF(G55="",0,LEN(G55)-LEN(SUBSTITUTE(G55,",",""))+1)</x:f>
        <x:v>7</x:v>
      </x:c>
      <x:c r="J55" s="27" t="n">
        <x:f>LN(1+D55)</x:f>
        <x:v>7.972810784121404</x:v>
      </x:c>
      <x:c r="K55" s="27" t="n">
        <x:f>LN(1+E55)</x:f>
        <x:v>6.7226297948554485</x:v>
      </x:c>
      <x:c r="L55" s="27" t="n">
        <x:f>(J55-Method!$C$13)/Method!$D$13</x:f>
        <x:v>-0.39379806257199307</x:v>
      </x:c>
      <x:c r="M55" s="27" t="n">
        <x:f>(K55-Method!$C$14)/Method!$D$14</x:f>
        <x:v>-0.19336136808207904</x:v>
      </x:c>
      <x:c r="N55" s="27" t="n">
        <x:f>(H55-Method!$C$15)/Method!$D$15</x:f>
        <x:v>-0.2861487676222712</x:v>
      </x:c>
      <x:c r="O55" s="27" t="n">
        <x:f>(I55-Method!$C$16)/Method!$D$16</x:f>
        <x:v>-0.28454083702339367</x:v>
      </x:c>
      <x:c r="P55" s="27" t="n">
        <x:f>(N55+O55)/2</x:f>
        <x:v>-0.28534480232283244</x:v>
      </x:c>
      <x:c r="Q55" s="27" t="n">
        <x:f>50+10*($L55*Sensitivity!$B$6+$M55*Sensitivity!$C$6+$P55*Sensitivity!$D$6)</x:f>
        <x:v>47.091652556743654</x:v>
      </x:c>
      <x:c r="R55" s="27" t="n">
        <x:f>50+10*($L55*Sensitivity!$B$7+$M55*Sensitivity!$C$7+$P55*Sensitivity!$D$7)</x:f>
        <x:v>46.83424426112776</x:v>
      </x:c>
      <x:c r="S55" s="27" t="n">
        <x:f>50+10*($L55*Sensitivity!$B$8+$M55*Sensitivity!$C$8+$P55*Sensitivity!$D$8)</x:f>
        <x:v>47.335335997352544</x:v>
      </x:c>
      <x:c r="T55" s="27" t="n">
        <x:f>50+10*($L55*Sensitivity!$B$9+$M55*Sensitivity!$C$9+$P55*Sensitivity!$D$9)</x:f>
        <x:v>47.10537741175066</x:v>
      </x:c>
      <x:c r="U55" s="27" t="n">
        <x:f>50+10*($L55*Sensitivity!$B$10+$M55*Sensitivity!$C$10+$P55*Sensitivity!$D$10)</x:f>
        <x:v>47.08067267273805</x:v>
      </x:c>
      <x:c r="V55" s="27" t="n">
        <x:f>50+10*($L55*Sensitivity!$B$11+$M55*Sensitivity!$C$11+$P55*Sensitivity!$D$11)</x:f>
        <x:v>46.988689238497294</x:v>
      </x:c>
      <x:c r="W55" s="27" t="n">
        <x:f>50+10*($L55*Sensitivity!$B$12+$M55*Sensitivity!$C$12+$P55*Sensitivity!$D$12)</x:f>
        <x:v>47.09714249874645</x:v>
      </x:c>
      <x:c r="X55" s="27"/>
      <x:c r="Y55" s="27"/>
      <x:c r="Z55" s="27"/>
    </x:row>
    <x:row r="56">
      <x:c r="A56" s="27" t="str">
        <x:v>FLE_fixed_L06_R03_20260925T160447</x:v>
      </x:c>
      <x:c r="B56" s="27" t="str">
        <x:v>fixed</x:v>
      </x:c>
      <x:c r="C56" s="27" t="n">
        <x:v>6</x:v>
      </x:c>
      <x:c r="D56" s="27" t="n">
        <x:v>3027</x:v>
      </x:c>
      <x:c r="E56" s="27" t="n">
        <x:v>792</x:v>
      </x:c>
      <x:c r="F56" s="27" t="str">
        <x:v>steam-power, automation-science-pack</x:v>
      </x:c>
      <x:c r="G56" s="27" t="str">
        <x:v>iron-chest, iron-ore, iron-gear-wheel, stone, burner-mining-drill, iron-plate, coal, stone-furnace</x:v>
      </x:c>
      <x:c r="H56" s="27" t="n">
        <x:f>IF(F56="",0,LEN(F56)-LEN(SUBSTITUTE(F56,",",""))+1)</x:f>
        <x:v>2</x:v>
      </x:c>
      <x:c r="I56" s="27" t="n">
        <x:f>IF(G56="",0,LEN(G56)-LEN(SUBSTITUTE(G56,",",""))+1)</x:f>
        <x:v>8</x:v>
      </x:c>
      <x:c r="J56" s="27" t="n">
        <x:f>LN(1+D56)</x:f>
        <x:v>8.01565761455734</x:v>
      </x:c>
      <x:c r="K56" s="27" t="n">
        <x:f>LN(1+E56)</x:f>
        <x:v>6.675823221634848</x:v>
      </x:c>
      <x:c r="L56" s="27" t="n">
        <x:f>(J56-Method!$C$13)/Method!$D$13</x:f>
        <x:v>-0.30929364990978797</x:v>
      </x:c>
      <x:c r="M56" s="27" t="n">
        <x:f>(K56-Method!$C$14)/Method!$D$14</x:f>
        <x:v>-0.26400670098723616</x:v>
      </x:c>
      <x:c r="N56" s="27" t="n">
        <x:f>(H56-Method!$C$15)/Method!$D$15</x:f>
        <x:v>-0.2861487676222712</x:v>
      </x:c>
      <x:c r="O56" s="27" t="n">
        <x:f>(I56-Method!$C$16)/Method!$D$16</x:f>
        <x:v>0.7787433434324454</x:v>
      </x:c>
      <x:c r="P56" s="27" t="n">
        <x:f>(N56+O56)/2</x:f>
        <x:v>0.24629728790508712</x:v>
      </x:c>
      <x:c r="Q56" s="27" t="n">
        <x:f>50+10*($L56*Sensitivity!$B$6+$M56*Sensitivity!$C$6+$P56*Sensitivity!$D$6)</x:f>
        <x:v>48.90998979002688</x:v>
      </x:c>
      <x:c r="R56" s="27" t="n">
        <x:f>50+10*($L56*Sensitivity!$B$7+$M56*Sensitivity!$C$7+$P56*Sensitivity!$D$7)</x:f>
        <x:v>48.40925821774569</x:v>
      </x:c>
      <x:c r="S56" s="27" t="n">
        <x:f>50+10*($L56*Sensitivity!$B$8+$M56*Sensitivity!$C$8+$P56*Sensitivity!$D$8)</x:f>
        <x:v>48.52247559005207</x:v>
      </x:c>
      <x:c r="T56" s="27" t="n">
        <x:f>50+10*($L56*Sensitivity!$B$9+$M56*Sensitivity!$C$9+$P56*Sensitivity!$D$9)</x:f>
        <x:v>49.798235562282876</x:v>
      </x:c>
      <x:c r="U56" s="27" t="n">
        <x:f>50+10*($L56*Sensitivity!$B$10+$M56*Sensitivity!$C$10+$P56*Sensitivity!$D$10)</x:f>
        <x:v>48.19939317222208</x:v>
      </x:c>
      <x:c r="V56" s="27" t="n">
        <x:f>50+10*($L56*Sensitivity!$B$11+$M56*Sensitivity!$C$11+$P56*Sensitivity!$D$11)</x:f>
        <x:v>48.7096971611144</x:v>
      </x:c>
      <x:c r="W56" s="27" t="n">
        <x:f>50+10*($L56*Sensitivity!$B$12+$M56*Sensitivity!$C$12+$P56*Sensitivity!$D$12)</x:f>
        <x:v>49.265288098929275</x:v>
      </x:c>
      <x:c r="X56" s="27"/>
      <x:c r="Y56" s="27"/>
      <x:c r="Z56" s="27"/>
    </x:row>
    <x:row r="57">
      <x:c r="A57" s="27" t="str">
        <x:v>FLE_fixed_L07_R01_20260925T200605</x:v>
      </x:c>
      <x:c r="B57" s="27" t="str">
        <x:v>fixed</x:v>
      </x:c>
      <x:c r="C57" s="27" t="n">
        <x:v>7</x:v>
      </x:c>
      <x:c r="D57" s="27" t="n">
        <x:v>4395</x:v>
      </x:c>
      <x:c r="E57" s="27" t="n">
        <x:v>1377</x:v>
      </x:c>
      <x:c r="F57" s="27" t="str">
        <x:v>steam-power, automation-science-pack</x:v>
      </x:c>
      <x:c r="G57" s="27" t="str">
        <x:v>stone, coal, iron-ore, burner-mining-drill, stone-furnace, iron-plate, iron-gear-wheel</x:v>
      </x:c>
      <x:c r="H57" s="27" t="n">
        <x:f>IF(F57="",0,LEN(F57)-LEN(SUBSTITUTE(F57,",",""))+1)</x:f>
        <x:v>2</x:v>
      </x:c>
      <x:c r="I57" s="27" t="n">
        <x:f>IF(G57="",0,LEN(G57)-LEN(SUBSTITUTE(G57,",",""))+1)</x:f>
        <x:v>7</x:v>
      </x:c>
      <x:c r="J57" s="27" t="n">
        <x:f>LN(1+D57)</x:f>
        <x:v>8.388450315523512</x:v>
      </x:c>
      <x:c r="K57" s="27" t="n">
        <x:f>LN(1+E57)</x:f>
        <x:v>7.228388451573604</x:v>
      </x:c>
      <x:c r="L57" s="27" t="n">
        <x:f>(J57-Method!$C$13)/Method!$D$13</x:f>
        <x:v>0.4259445910379632</x:v>
      </x:c>
      <x:c r="M57" s="27" t="n">
        <x:f>(K57-Method!$C$14)/Method!$D$14</x:f>
        <x:v>0.5699820304001159</x:v>
      </x:c>
      <x:c r="N57" s="27" t="n">
        <x:f>(H57-Method!$C$15)/Method!$D$15</x:f>
        <x:v>-0.2861487676222712</x:v>
      </x:c>
      <x:c r="O57" s="27" t="n">
        <x:f>(I57-Method!$C$16)/Method!$D$16</x:f>
        <x:v>-0.28454083702339367</x:v>
      </x:c>
      <x:c r="P57" s="27" t="n">
        <x:f>(N57+O57)/2</x:f>
        <x:v>-0.28534480232283244</x:v>
      </x:c>
      <x:c r="Q57" s="27" t="n">
        <x:f>50+10*($L57*Sensitivity!$B$6+$M57*Sensitivity!$C$6+$P57*Sensitivity!$D$6)</x:f>
        <x:v>52.368606063717486</x:v>
      </x:c>
      <x:c r="R57" s="27" t="n">
        <x:f>50+10*($L57*Sensitivity!$B$7+$M57*Sensitivity!$C$7+$P57*Sensitivity!$D$7)</x:f>
        <x:v>52.84131602538302</x:v>
      </x:c>
      <x:c r="S57" s="27" t="n">
        <x:f>50+10*($L57*Sensitivity!$B$8+$M57*Sensitivity!$C$8+$P57*Sensitivity!$D$8)</x:f>
        <x:v>53.20140962378841</x:v>
      </x:c>
      <x:c r="T57" s="27" t="n">
        <x:f>50+10*($L57*Sensitivity!$B$9+$M57*Sensitivity!$C$9+$P57*Sensitivity!$D$9)</x:f>
        <x:v>51.063092541981035</x:v>
      </x:c>
      <x:c r="U57" s="27" t="n">
        <x:f>50+10*($L57*Sensitivity!$B$10+$M57*Sensitivity!$C$10+$P57*Sensitivity!$D$10)</x:f>
        <x:v>53.41301688110665</x:v>
      </x:c>
      <x:c r="V57" s="27" t="n">
        <x:f>50+10*($L57*Sensitivity!$B$11+$M57*Sensitivity!$C$11+$P57*Sensitivity!$D$11)</x:f>
        <x:v>52.557690048383705</x:v>
      </x:c>
      <x:c r="W57" s="27" t="n">
        <x:f>50+10*($L57*Sensitivity!$B$12+$M57*Sensitivity!$C$12+$P57*Sensitivity!$D$12)</x:f>
        <x:v>51.846400655022904</x:v>
      </x:c>
      <x:c r="X57" s="27"/>
      <x:c r="Y57" s="27"/>
      <x:c r="Z57" s="27"/>
    </x:row>
    <x:row r="58">
      <x:c r="A58" s="27" t="str">
        <x:v>FLE_fixed_L07_R02_20260925T203405</x:v>
      </x:c>
      <x:c r="B58" s="27" t="str">
        <x:v>fixed</x:v>
      </x:c>
      <x:c r="C58" s="27" t="n">
        <x:v>7</x:v>
      </x:c>
      <x:c r="D58" s="27" t="n">
        <x:v>3766</x:v>
      </x:c>
      <x:c r="E58" s="27" t="n">
        <x:v>938</x:v>
      </x:c>
      <x:c r="F58" s="27" t="str">
        <x:v>steam-power, automation-science-pack</x:v>
      </x:c>
      <x:c r="G58" s="27" t="str">
        <x:v>iron-plate, iron-gear-wheel, iron-ore, coal, stone, stone-furnace</x:v>
      </x:c>
      <x:c r="H58" s="27" t="n">
        <x:f>IF(F58="",0,LEN(F58)-LEN(SUBSTITUTE(F58,",",""))+1)</x:f>
        <x:v>2</x:v>
      </x:c>
      <x:c r="I58" s="27" t="n">
        <x:f>IF(G58="",0,LEN(G58)-LEN(SUBSTITUTE(G58,",",""))+1)</x:f>
        <x:v>6</x:v>
      </x:c>
      <x:c r="J58" s="27" t="n">
        <x:f>LN(1+D58)</x:f>
        <x:v>8.23403420769204</x:v>
      </x:c>
      <x:c r="K58" s="27" t="n">
        <x:f>LN(1+E58)</x:f>
        <x:v>6.844815479208263</x:v>
      </x:c>
      <x:c r="L58" s="27" t="n">
        <x:f>(J58-Method!$C$13)/Method!$D$13</x:f>
        <x:v>0.12139831853379437</x:v>
      </x:c>
      <x:c r="M58" s="27" t="n">
        <x:f>(K58-Method!$C$14)/Method!$D$14</x:f>
        <x:v>-0.008946065840942074</x:v>
      </x:c>
      <x:c r="N58" s="27" t="n">
        <x:f>(H58-Method!$C$15)/Method!$D$15</x:f>
        <x:v>-0.2861487676222712</x:v>
      </x:c>
      <x:c r="O58" s="27" t="n">
        <x:f>(I58-Method!$C$16)/Method!$D$16</x:f>
        <x:v>-1.3478250174792328</x:v>
      </x:c>
      <x:c r="P58" s="27" t="n">
        <x:f>(N58+O58)/2</x:f>
        <x:v>-0.816986892550752</x:v>
      </x:c>
      <x:c r="Q58" s="27" t="n">
        <x:f>50+10*($L58*Sensitivity!$B$6+$M58*Sensitivity!$C$6+$P58*Sensitivity!$D$6)</x:f>
        <x:v>47.65155120047367</x:v>
      </x:c>
      <x:c r="R58" s="27" t="n">
        <x:f>50+10*($L58*Sensitivity!$B$7+$M58*Sensitivity!$C$7+$P58*Sensitivity!$D$7)</x:f>
        <x:v>48.54215919668974</x:v>
      </x:c>
      <x:c r="S58" s="27" t="n">
        <x:f>50+10*($L58*Sensitivity!$B$8+$M58*Sensitivity!$C$8+$P58*Sensitivity!$D$8)</x:f>
        <x:v>48.216298235752895</x:v>
      </x:c>
      <x:c r="T58" s="27" t="n">
        <x:f>50+10*($L58*Sensitivity!$B$9+$M58*Sensitivity!$C$9+$P58*Sensitivity!$D$9)</x:f>
        <x:v>46.19619616897837</x:v>
      </x:c>
      <x:c r="U58" s="27" t="n">
        <x:f>50+10*($L58*Sensitivity!$B$10+$M58*Sensitivity!$C$10+$P58*Sensitivity!$D$10)</x:f>
        <x:v>48.81583522566991</x:v>
      </x:c>
      <x:c r="V58" s="27" t="n">
        <x:f>50+10*($L58*Sensitivity!$B$11+$M58*Sensitivity!$C$11+$P58*Sensitivity!$D$11)</x:f>
        <x:v>48.007794398960094</x:v>
      </x:c>
      <x:c r="W58" s="27" t="n">
        <x:f>50+10*($L58*Sensitivity!$B$12+$M58*Sensitivity!$C$12+$P58*Sensitivity!$D$12)</x:f>
        <x:v>47.06940918787555</x:v>
      </x:c>
      <x:c r="X58" s="27"/>
      <x:c r="Y58" s="27"/>
      <x:c r="Z58" s="27"/>
    </x:row>
    <x:row r="59">
      <x:c r="A59" s="27" t="str">
        <x:v>FLE_fixed_L07_R03_20260925T205916</x:v>
      </x:c>
      <x:c r="B59" s="27" t="str">
        <x:v>fixed</x:v>
      </x:c>
      <x:c r="C59" s="27" t="n">
        <x:v>7</x:v>
      </x:c>
      <x:c r="D59" s="27" t="n">
        <x:v>2212</x:v>
      </x:c>
      <x:c r="E59" s="27" t="n">
        <x:v>574</x:v>
      </x:c>
      <x:c r="F59" s="27" t="str">
        <x:v>automation-science-pack, steam-power</x:v>
      </x:c>
      <x:c r="G59" s="27" t="str">
        <x:v>coal, iron-plate, stone, iron-gear-wheel, stone-furnace, iron-ore, burner-mining-drill</x:v>
      </x:c>
      <x:c r="H59" s="27" t="n">
        <x:f>IF(F59="",0,LEN(F59)-LEN(SUBSTITUTE(F59,",",""))+1)</x:f>
        <x:v>2</x:v>
      </x:c>
      <x:c r="I59" s="27" t="n">
        <x:f>IF(G59="",0,LEN(G59)-LEN(SUBSTITUTE(G59,",",""))+1)</x:f>
        <x:v>7</x:v>
      </x:c>
      <x:c r="J59" s="27" t="n">
        <x:f>LN(1+D59)</x:f>
        <x:v>7.70210434005105</x:v>
      </x:c>
      <x:c r="K59" s="27" t="n">
        <x:f>LN(1+E59)</x:f>
        <x:v>6.354370040797351</x:v>
      </x:c>
      <x:c r="L59" s="27" t="n">
        <x:f>(J59-Method!$C$13)/Method!$D$13</x:f>
        <x:v>-0.9276972758228677</x:v>
      </x:c>
      <x:c r="M59" s="27" t="n">
        <x:f>(K59-Method!$C$14)/Method!$D$14</x:f>
        <x:v>-0.7491771676791175</x:v>
      </x:c>
      <x:c r="N59" s="27" t="n">
        <x:f>(H59-Method!$C$15)/Method!$D$15</x:f>
        <x:v>-0.2861487676222712</x:v>
      </x:c>
      <x:c r="O59" s="27" t="n">
        <x:f>(I59-Method!$C$16)/Method!$D$16</x:f>
        <x:v>-0.28454083702339367</x:v>
      </x:c>
      <x:c r="P59" s="27" t="n">
        <x:f>(N59+O59)/2</x:f>
        <x:v>-0.28534480232283244</x:v>
      </x:c>
      <x:c r="Q59" s="27" t="n">
        <x:f>50+10*($L59*Sensitivity!$B$6+$M59*Sensitivity!$C$6+$P59*Sensitivity!$D$6)</x:f>
        <x:v>43.459269180583945</x:v>
      </x:c>
      <x:c r="R59" s="27" t="n">
        <x:f>50+10*($L59*Sensitivity!$B$7+$M59*Sensitivity!$C$7+$P59*Sensitivity!$D$7)</x:f>
        <x:v>42.775208695880785</x:v>
      </x:c>
      <x:c r="S59" s="27" t="n">
        <x:f>50+10*($L59*Sensitivity!$B$8+$M59*Sensitivity!$C$8+$P59*Sensitivity!$D$8)</x:f>
        <x:v>43.221508966240165</x:v>
      </x:c>
      <x:c r="T59" s="27" t="n">
        <x:f>50+10*($L59*Sensitivity!$B$9+$M59*Sensitivity!$C$9+$P59*Sensitivity!$D$9)</x:f>
        <x:v>44.38108987963088</x:v>
      </x:c>
      <x:c r="U59" s="27" t="n">
        <x:f>50+10*($L59*Sensitivity!$B$10+$M59*Sensitivity!$C$10+$P59*Sensitivity!$D$10)</x:f>
        <x:v>42.721812621346395</x:v>
      </x:c>
      <x:c r="V59" s="27" t="n">
        <x:f>50+10*($L59*Sensitivity!$B$11+$M59*Sensitivity!$C$11+$P59*Sensitivity!$D$11)</x:f>
        <x:v>43.18564498670268</x:v>
      </x:c>
      <x:c r="W59" s="27" t="n">
        <x:f>50+10*($L59*Sensitivity!$B$12+$M59*Sensitivity!$C$12+$P59*Sensitivity!$D$12)</x:f>
        <x:v>43.82799746020272</x:v>
      </x:c>
      <x:c r="X59" s="27"/>
      <x:c r="Y59" s="27"/>
      <x:c r="Z59" s="27"/>
    </x:row>
    <x:row r="60">
      <x:c r="A60" s="27" t="str">
        <x:v>FLE_fixed_L08_R01_20260925T215351</x:v>
      </x:c>
      <x:c r="B60" s="27" t="str">
        <x:v>fixed</x:v>
      </x:c>
      <x:c r="C60" s="27" t="n">
        <x:v>8</x:v>
      </x:c>
      <x:c r="D60" s="27" t="n">
        <x:v>1489</x:v>
      </x:c>
      <x:c r="E60" s="27" t="n">
        <x:v>536</x:v>
      </x:c>
      <x:c r="F60" s="27" t="str">
        <x:v>steam-power, automation-science-pack</x:v>
      </x:c>
      <x:c r="G60" s="27" t="str">
        <x:v>stone, wood, iron-plate, iron-ore, burner-mining-drill, wooden-chest, iron-gear-wheel, stone-furnace, coal</x:v>
      </x:c>
      <x:c r="H60" s="27" t="n">
        <x:f>IF(F60="",0,LEN(F60)-LEN(SUBSTITUTE(F60,",",""))+1)</x:f>
        <x:v>2</x:v>
      </x:c>
      <x:c r="I60" s="27" t="n">
        <x:f>IF(G60="",0,LEN(G60)-LEN(SUBSTITUTE(G60,",",""))+1)</x:f>
        <x:v>9</x:v>
      </x:c>
      <x:c r="J60" s="27" t="n">
        <x:f>LN(1+D60)</x:f>
        <x:v>7.306531398939505</x:v>
      </x:c>
      <x:c r="K60" s="27" t="n">
        <x:f>LN(1+E60)</x:f>
        <x:v>6.285998094508865</x:v>
      </x:c>
      <x:c r="L60" s="27" t="n">
        <x:f>(J60-Method!$C$13)/Method!$D$13</x:f>
        <x:v>-1.7078637131903511</x:v>
      </x:c>
      <x:c r="M60" s="27" t="n">
        <x:f>(K60-Method!$C$14)/Method!$D$14</x:f>
        <x:v>-0.8523711973757351</x:v>
      </x:c>
      <x:c r="N60" s="27" t="n">
        <x:f>(H60-Method!$C$15)/Method!$D$15</x:f>
        <x:v>-0.2861487676222712</x:v>
      </x:c>
      <x:c r="O60" s="27" t="n">
        <x:f>(I60-Method!$C$16)/Method!$D$16</x:f>
        <x:v>1.8420275238882846</x:v>
      </x:c>
      <x:c r="P60" s="27" t="n">
        <x:f>(N60+O60)/2</x:f>
        <x:v>0.7779393781330067</x:v>
      </x:c>
      <x:c r="Q60" s="27" t="n">
        <x:f>50+10*($L60*Sensitivity!$B$6+$M60*Sensitivity!$C$6+$P60*Sensitivity!$D$6)</x:f>
        <x:v>44.05901489188973</x:v>
      </x:c>
      <x:c r="R60" s="27" t="n">
        <x:f>50+10*($L60*Sensitivity!$B$7+$M60*Sensitivity!$C$7+$P60*Sensitivity!$D$7)</x:f>
        <x:v>41.27460188594142</x:v>
      </x:c>
      <x:c r="S60" s="27" t="n">
        <x:f>50+10*($L60*Sensitivity!$B$8+$M60*Sensitivity!$C$8+$P60*Sensitivity!$D$8)</x:f>
        <x:v>43.413333175477966</x:v>
      </x:c>
      <x:c r="T60" s="27" t="n">
        <x:f>50+10*($L60*Sensitivity!$B$9+$M60*Sensitivity!$C$9+$P60*Sensitivity!$D$9)</x:f>
        <x:v>47.48910961424982</x:v>
      </x:c>
      <x:c r="U60" s="27" t="n">
        <x:f>50+10*($L60*Sensitivity!$B$10+$M60*Sensitivity!$C$10+$P60*Sensitivity!$D$10)</x:f>
        <x:v>41.31493911400167</x:v>
      </x:c>
      <x:c r="V60" s="27" t="n">
        <x:f>50+10*($L60*Sensitivity!$B$11+$M60*Sensitivity!$C$11+$P60*Sensitivity!$D$11)</x:f>
        <x:v>42.94524968951041</x:v>
      </x:c>
      <x:c r="W60" s="27" t="n">
        <x:f>50+10*($L60*Sensitivity!$B$12+$M60*Sensitivity!$C$12+$P60*Sensitivity!$D$12)</x:f>
        <x:v>45.43105278083377</x:v>
      </x:c>
      <x:c r="X60" s="27"/>
      <x:c r="Y60" s="27"/>
      <x:c r="Z60" s="27"/>
    </x:row>
    <x:row r="61">
      <x:c r="A61" s="27" t="str">
        <x:v>FLE_fixed_L08_R02_20260925T222100</x:v>
      </x:c>
      <x:c r="B61" s="27" t="str">
        <x:v>fixed</x:v>
      </x:c>
      <x:c r="C61" s="27" t="n">
        <x:v>8</x:v>
      </x:c>
      <x:c r="D61" s="27" t="n">
        <x:v>4323</x:v>
      </x:c>
      <x:c r="E61" s="27" t="n">
        <x:v>908</x:v>
      </x:c>
      <x:c r="F61" s="27" t="str">
        <x:v>automation-science-pack, steam-power</x:v>
      </x:c>
      <x:c r="G61" s="27" t="str">
        <x:v>iron-plate, burner-mining-drill, stone-furnace, iron-gear-wheel, coal, iron-ore, stone</x:v>
      </x:c>
      <x:c r="H61" s="27" t="n">
        <x:f>IF(F61="",0,LEN(F61)-LEN(SUBSTITUTE(F61,",",""))+1)</x:f>
        <x:v>2</x:v>
      </x:c>
      <x:c r="I61" s="27" t="n">
        <x:f>IF(G61="",0,LEN(G61)-LEN(SUBSTITUTE(G61,",",""))+1)</x:f>
        <x:v>7</x:v>
      </x:c>
      <x:c r="J61" s="27" t="n">
        <x:f>LN(1+D61)</x:f>
        <x:v>8.371936178759098</x:v>
      </x:c>
      <x:c r="K61" s="27" t="n">
        <x:f>LN(1+E61)</x:f>
        <x:v>6.812345094177479</x:v>
      </x:c>
      <x:c r="L61" s="27" t="n">
        <x:f>(J61-Method!$C$13)/Method!$D$13</x:f>
        <x:v>0.3933746806454847</x:v>
      </x:c>
      <x:c r="M61" s="27" t="n">
        <x:f>(K61-Method!$C$14)/Method!$D$14</x:f>
        <x:v>-0.05795373724741826</x:v>
      </x:c>
      <x:c r="N61" s="27" t="n">
        <x:f>(H61-Method!$C$15)/Method!$D$15</x:f>
        <x:v>-0.2861487676222712</x:v>
      </x:c>
      <x:c r="O61" s="27" t="n">
        <x:f>(I61-Method!$C$16)/Method!$D$16</x:f>
        <x:v>-0.28454083702339367</x:v>
      </x:c>
      <x:c r="P61" s="27" t="n">
        <x:f>(N61+O61)/2</x:f>
        <x:v>-0.28534480232283244</x:v>
      </x:c>
      <x:c r="Q61" s="27" t="n">
        <x:f>50+10*($L61*Sensitivity!$B$6+$M61*Sensitivity!$C$6+$P61*Sensitivity!$D$6)</x:f>
        <x:v>50.16692047025078</x:v>
      </x:c>
      <x:c r="R61" s="27" t="n">
        <x:f>50+10*($L61*Sensitivity!$B$7+$M61*Sensitivity!$C$7+$P61*Sensitivity!$D$7)</x:f>
        <x:v>51.1086270543018</x:v>
      </x:c>
      <x:c r="S61" s="27" t="n">
        <x:f>50+10*($L61*Sensitivity!$B$8+$M61*Sensitivity!$C$8+$P61*Sensitivity!$D$8)</x:f>
        <x:v>49.98030600956954</x:v>
      </x:c>
      <x:c r="T61" s="27" t="n">
        <x:f>50+10*($L61*Sensitivity!$B$9+$M61*Sensitivity!$C$9+$P61*Sensitivity!$D$9)</x:f>
        <x:v>49.411828346881</x:v>
      </x:c>
      <x:c r="U61" s="27" t="n">
        <x:f>50+10*($L61*Sensitivity!$B$10+$M61*Sensitivity!$C$10+$P61*Sensitivity!$D$10)</x:f>
        <x:v>50.7709941689466</x:v>
      </x:c>
      <x:c r="V61" s="27" t="n">
        <x:f>50+10*($L61*Sensitivity!$B$11+$M61*Sensitivity!$C$11+$P61*Sensitivity!$D$11)</x:f>
        <x:v>50.543603103871185</x:v>
      </x:c>
      <x:c r="W61" s="27" t="n">
        <x:f>50+10*($L61*Sensitivity!$B$12+$M61*Sensitivity!$C$12+$P61*Sensitivity!$D$12)</x:f>
        <x:v>49.86488362090287</x:v>
      </x:c>
      <x:c r="X61" s="27"/>
      <x:c r="Y61" s="27"/>
      <x:c r="Z61" s="27"/>
    </x:row>
    <x:row r="62">
      <x:c r="A62" s="27" t="str">
        <x:v>FLE_fixed_L08_R03_20260925T224826</x:v>
      </x:c>
      <x:c r="B62" s="27" t="str">
        <x:v>fixed</x:v>
      </x:c>
      <x:c r="C62" s="27" t="n">
        <x:v>8</x:v>
      </x:c>
      <x:c r="D62" s="27" t="n">
        <x:v>4946</x:v>
      </x:c>
      <x:c r="E62" s="27" t="n">
        <x:v>1582</x:v>
      </x:c>
      <x:c r="F62" s="27" t="str">
        <x:v>automation-science-pack, steam-power</x:v>
      </x:c>
      <x:c r="G62" s="27" t="str">
        <x:v>iron-plate, iron-gear-wheel, stone, iron-ore, stone-furnace, burner-mining-drill, coal</x:v>
      </x:c>
      <x:c r="H62" s="27" t="n">
        <x:f>IF(F62="",0,LEN(F62)-LEN(SUBSTITUTE(F62,",",""))+1)</x:f>
        <x:v>2</x:v>
      </x:c>
      <x:c r="I62" s="27" t="n">
        <x:f>IF(G62="",0,LEN(G62)-LEN(SUBSTITUTE(G62,",",""))+1)</x:f>
        <x:v>7</x:v>
      </x:c>
      <x:c r="J62" s="27" t="n">
        <x:f>LN(1+D62)</x:f>
        <x:v>8.506536611227709</x:v>
      </x:c>
      <x:c r="K62" s="27" t="n">
        <x:f>LN(1+E62)</x:f>
        <x:v>7.367077059881012</x:v>
      </x:c>
      <x:c r="L62" s="27" t="n">
        <x:f>(J62-Method!$C$13)/Method!$D$13</x:f>
        <x:v>0.6588396024171372</x:v>
      </x:c>
      <x:c r="M62" s="27" t="n">
        <x:f>(K62-Method!$C$14)/Method!$D$14</x:f>
        <x:v>0.7793052563891858</x:v>
      </x:c>
      <x:c r="N62" s="27" t="n">
        <x:f>(H62-Method!$C$15)/Method!$D$15</x:f>
        <x:v>-0.2861487676222712</x:v>
      </x:c>
      <x:c r="O62" s="27" t="n">
        <x:f>(I62-Method!$C$16)/Method!$D$16</x:f>
        <x:v>-0.28454083702339367</x:v>
      </x:c>
      <x:c r="P62" s="27" t="n">
        <x:f>(N62+O62)/2</x:f>
        <x:v>-0.28534480232283244</x:v>
      </x:c>
      <x:c r="Q62" s="27" t="n">
        <x:f>50+10*($L62*Sensitivity!$B$6+$M62*Sensitivity!$C$6+$P62*Sensitivity!$D$6)</x:f>
        <x:v>53.842666854944966</x:v>
      </x:c>
      <x:c r="R62" s="27" t="n">
        <x:f>50+10*($L62*Sensitivity!$B$7+$M62*Sensitivity!$C$7+$P62*Sensitivity!$D$7)</x:f>
        <x:v>54.52909914725157</x:v>
      </x:c>
      <x:c r="S62" s="27" t="n">
        <x:f>50+10*($L62*Sensitivity!$B$8+$M62*Sensitivity!$C$8+$P62*Sensitivity!$D$8)</x:f>
        <x:v>54.83026328218169</x:v>
      </x:c>
      <x:c r="T62" s="27" t="n">
        <x:f>50+10*($L62*Sensitivity!$B$9+$M62*Sensitivity!$C$9+$P62*Sensitivity!$D$9)</x:f>
        <x:v>52.16863813540164</x:v>
      </x:c>
      <x:c r="U62" s="27" t="n">
        <x:f>50+10*($L62*Sensitivity!$B$10+$M62*Sensitivity!$C$10+$P62*Sensitivity!$D$10)</x:f>
        <x:v>55.18188983057963</x:v>
      </x:c>
      <x:c r="V62" s="27" t="n">
        <x:f>50+10*($L62*Sensitivity!$B$11+$M62*Sensitivity!$C$11+$P62*Sensitivity!$D$11)</x:f>
        <x:v>54.11723977186761</x:v>
      </x:c>
      <x:c r="W62" s="27" t="n">
        <x:f>50+10*($L62*Sensitivity!$B$12+$M62*Sensitivity!$C$12+$P62*Sensitivity!$D$12)</x:f>
        <x:v>53.17305536712764</x:v>
      </x:c>
      <x:c r="X62" s="27"/>
      <x:c r="Y62" s="27"/>
      <x:c r="Z62" s="27"/>
    </x:row>
    <x:row r="63">
      <x:c r="A63" s="27" t="str">
        <x:v>FLE_fixed_L09_R01_20260925T234622</x:v>
      </x:c>
      <x:c r="B63" s="27" t="str">
        <x:v>fixed</x:v>
      </x:c>
      <x:c r="C63" s="27" t="n">
        <x:v>9</x:v>
      </x:c>
      <x:c r="D63" s="27" t="n">
        <x:v>4192</x:v>
      </x:c>
      <x:c r="E63" s="27" t="n">
        <x:v>985</x:v>
      </x:c>
      <x:c r="F63" s="27" t="str">
        <x:v>steam-power, automation-science-pack</x:v>
      </x:c>
      <x:c r="G63" s="27" t="str">
        <x:v>iron-ore, coal, iron-gear-wheel, copper-ore, stone, iron-plate, stone-furnace, burner-mining-drill</x:v>
      </x:c>
      <x:c r="H63" s="27" t="n">
        <x:f>IF(F63="",0,LEN(F63)-LEN(SUBSTITUTE(F63,",",""))+1)</x:f>
        <x:v>2</x:v>
      </x:c>
      <x:c r="I63" s="27" t="n">
        <x:f>IF(G63="",0,LEN(G63)-LEN(SUBSTITUTE(G63,",",""))+1)</x:f>
        <x:v>8</x:v>
      </x:c>
      <x:c r="J63" s="27" t="n">
        <x:f>LN(1+D63)</x:f>
        <x:v>8.341171747170762</x:v>
      </x:c>
      <x:c r="K63" s="27" t="n">
        <x:f>LN(1+E63)</x:f>
        <x:v>6.893656354602635</x:v>
      </x:c>
      <x:c r="L63" s="27" t="n">
        <x:f>(J63-Method!$C$13)/Method!$D$13</x:f>
        <x:v>0.33269970898927137</x:v>
      </x:c>
      <x:c r="M63" s="27" t="n">
        <x:f>(K63-Method!$C$14)/Method!$D$14</x:f>
        <x:v>0.06476964680806938</x:v>
      </x:c>
      <x:c r="N63" s="27" t="n">
        <x:f>(H63-Method!$C$15)/Method!$D$15</x:f>
        <x:v>-0.2861487676222712</x:v>
      </x:c>
      <x:c r="O63" s="27" t="n">
        <x:f>(I63-Method!$C$16)/Method!$D$16</x:f>
        <x:v>0.7787433434324454</x:v>
      </x:c>
      <x:c r="P63" s="27" t="n">
        <x:f>(N63+O63)/2</x:f>
        <x:v>0.24629728790508712</x:v>
      </x:c>
      <x:c r="Q63" s="27" t="n">
        <x:f>50+10*($L63*Sensitivity!$B$6+$M63*Sensitivity!$C$6+$P63*Sensitivity!$D$6)</x:f>
        <x:v>52.145888812341425</x:v>
      </x:c>
      <x:c r="R63" s="27" t="n">
        <x:f>50+10*($L63*Sensitivity!$B$7+$M63*Sensitivity!$C$7+$P63*Sensitivity!$D$7)</x:f>
        <x:v>52.44116588172925</x:v>
      </x:c>
      <x:c r="S63" s="27" t="n">
        <x:f>50+10*($L63*Sensitivity!$B$8+$M63*Sensitivity!$C$8+$P63*Sensitivity!$D$8)</x:f>
        <x:v>51.77134072627624</x:v>
      </x:c>
      <x:c r="T63" s="27" t="n">
        <x:f>50+10*($L63*Sensitivity!$B$9+$M63*Sensitivity!$C$9+$P63*Sensitivity!$D$9)</x:f>
        <x:v>52.225159829018786</x:v>
      </x:c>
      <x:c r="U63" s="27" t="n">
        <x:f>50+10*($L63*Sensitivity!$B$10+$M63*Sensitivity!$C$10+$P63*Sensitivity!$D$10)</x:f>
        <x:v>52.08247199899954</x:v>
      </x:c>
      <x:c r="V63" s="27" t="n">
        <x:f>50+10*($L63*Sensitivity!$B$11+$M63*Sensitivity!$C$11+$P63*Sensitivity!$D$11)</x:f>
        <x:v>52.26399964009656</x:v>
      </x:c>
      <x:c r="W63" s="27" t="n">
        <x:f>50+10*($L63*Sensitivity!$B$12+$M63*Sensitivity!$C$12+$P63*Sensitivity!$D$12)</x:f>
        <x:v>52.17759721901237</x:v>
      </x:c>
      <x:c r="X63" s="27"/>
      <x:c r="Y63" s="27"/>
      <x:c r="Z63" s="27"/>
    </x:row>
    <x:row r="64">
      <x:c r="A64" s="27" t="str">
        <x:v>FLE_fixed_L09_R02_20260926T001412</x:v>
      </x:c>
      <x:c r="B64" s="27" t="str">
        <x:v>fixed</x:v>
      </x:c>
      <x:c r="C64" s="27" t="n">
        <x:v>9</x:v>
      </x:c>
      <x:c r="D64" s="27" t="n">
        <x:v>5153</x:v>
      </x:c>
      <x:c r="E64" s="27" t="n">
        <x:v>1856</x:v>
      </x:c>
      <x:c r="F64" s="27" t="str">
        <x:v>automation-science-pack, steam-power</x:v>
      </x:c>
      <x:c r="G64" s="27" t="str">
        <x:v>burner-mining-drill, stone, iron-ore, iron-plate, stone-furnace, coal, iron-gear-wheel</x:v>
      </x:c>
      <x:c r="H64" s="27" t="n">
        <x:f>IF(F64="",0,LEN(F64)-LEN(SUBSTITUTE(F64,",",""))+1)</x:f>
        <x:v>2</x:v>
      </x:c>
      <x:c r="I64" s="27" t="n">
        <x:f>IF(G64="",0,LEN(G64)-LEN(SUBSTITUTE(G64,",",""))+1)</x:f>
        <x:v>7</x:v>
      </x:c>
      <x:c r="J64" s="27" t="n">
        <x:f>LN(1+D64)</x:f>
        <x:v>8.54752839121231</x:v>
      </x:c>
      <x:c r="K64" s="27" t="n">
        <x:f>LN(1+E64)</x:f>
        <x:v>7.526717561352706</x:v>
      </x:c>
      <x:c r="L64" s="27" t="n">
        <x:f>(J64-Method!$C$13)/Method!$D$13</x:f>
        <x:v>0.7396854025926357</x:v>
      </x:c>
      <x:c r="M64" s="27" t="n">
        <x:f>(K64-Method!$C$14)/Method!$D$14</x:f>
        <x:v>1.0202512516976041</x:v>
      </x:c>
      <x:c r="N64" s="27" t="n">
        <x:f>(H64-Method!$C$15)/Method!$D$15</x:f>
        <x:v>-0.2861487676222712</x:v>
      </x:c>
      <x:c r="O64" s="27" t="n">
        <x:f>(I64-Method!$C$16)/Method!$D$16</x:f>
        <x:v>-0.28454083702339367</x:v>
      </x:c>
      <x:c r="P64" s="27" t="n">
        <x:f>(N64+O64)/2</x:f>
        <x:v>-0.28534480232283244</x:v>
      </x:c>
      <x:c r="Q64" s="27" t="n">
        <x:f>50+10*($L64*Sensitivity!$B$6+$M64*Sensitivity!$C$6+$P64*Sensitivity!$D$6)</x:f>
        <x:v>54.91530617322469</x:v>
      </x:c>
      <x:c r="R64" s="27" t="n">
        <x:f>50+10*($L64*Sensitivity!$B$7+$M64*Sensitivity!$C$7+$P64*Sensitivity!$D$7)</x:f>
        <x:v>55.535693136400106</x:v>
      </x:c>
      <x:c r="S64" s="27" t="n">
        <x:f>50+10*($L64*Sensitivity!$B$8+$M64*Sensitivity!$C$8+$P64*Sensitivity!$D$8)</x:f>
        <x:v>56.23710775916253</x:v>
      </x:c>
      <x:c r="T64" s="27" t="n">
        <x:f>50+10*($L64*Sensitivity!$B$9+$M64*Sensitivity!$C$9+$P64*Sensitivity!$D$9)</x:f>
        <x:v>52.97311762411144</x:v>
      </x:c>
      <x:c r="U64" s="27" t="n">
        <x:f>50+10*($L64*Sensitivity!$B$10+$M64*Sensitivity!$C$10+$P64*Sensitivity!$D$10)</x:f>
        <x:v>56.46905701251529</x:v>
      </x:c>
      <x:c r="V64" s="27" t="n">
        <x:f>50+10*($L64*Sensitivity!$B$11+$M64*Sensitivity!$C$11+$P64*Sensitivity!$D$11)</x:f>
        <x:v>55.16346095849486</x:v>
      </x:c>
      <x:c r="W64" s="27" t="n">
        <x:f>50+10*($L64*Sensitivity!$B$12+$M64*Sensitivity!$C$12+$P64*Sensitivity!$D$12)</x:f>
        <x:v>54.13843075357939</x:v>
      </x:c>
      <x:c r="X64" s="27"/>
      <x:c r="Y64" s="27"/>
      <x:c r="Z64" s="27"/>
    </x:row>
    <x:row r="65">
      <x:c r="A65" s="27" t="str">
        <x:v>FLE_fixed_L09_R03_20260926T004158</x:v>
      </x:c>
      <x:c r="B65" s="27" t="str">
        <x:v>fixed</x:v>
      </x:c>
      <x:c r="C65" s="27" t="n">
        <x:v>9</x:v>
      </x:c>
      <x:c r="D65" s="27" t="n">
        <x:v>5806</x:v>
      </x:c>
      <x:c r="E65" s="27" t="n">
        <x:v>1510</x:v>
      </x:c>
      <x:c r="F65" s="27" t="str">
        <x:v>automation-science-pack, steam-power</x:v>
      </x:c>
      <x:c r="G65" s="27" t="str">
        <x:v>iron-ore, burner-mining-drill, coal, iron-gear-wheel, iron-plate, stone, stone-furnace</x:v>
      </x:c>
      <x:c r="H65" s="27" t="n">
        <x:f>IF(F65="",0,LEN(F65)-LEN(SUBSTITUTE(F65,",",""))+1)</x:f>
        <x:v>2</x:v>
      </x:c>
      <x:c r="I65" s="27" t="n">
        <x:f>IF(G65="",0,LEN(G65)-LEN(SUBSTITUTE(G65,",",""))+1)</x:f>
        <x:v>7</x:v>
      </x:c>
      <x:c r="J65" s="27" t="n">
        <x:f>LN(1+D65)</x:f>
        <x:v>8.66681936537205</x:v>
      </x:c>
      <x:c r="K65" s="27" t="n">
        <x:f>LN(1+E65)</x:f>
        <x:v>7.32052696227274</x:v>
      </x:c>
      <x:c r="L65" s="27" t="n">
        <x:f>(J65-Method!$C$13)/Method!$D$13</x:f>
        <x:v>0.9749563340643029</x:v>
      </x:c>
      <x:c r="M65" s="27" t="n">
        <x:f>(K65-Method!$C$14)/Method!$D$14</x:f>
        <x:v>0.7090470230678756</x:v>
      </x:c>
      <x:c r="N65" s="27" t="n">
        <x:f>(H65-Method!$C$15)/Method!$D$15</x:f>
        <x:v>-0.2861487676222712</x:v>
      </x:c>
      <x:c r="O65" s="27" t="n">
        <x:f>(I65-Method!$C$16)/Method!$D$16</x:f>
        <x:v>-0.28454083702339367</x:v>
      </x:c>
      <x:c r="P65" s="27" t="n">
        <x:f>(N65+O65)/2</x:f>
        <x:v>-0.28534480232283244</x:v>
      </x:c>
      <x:c r="Q65" s="27" t="n">
        <x:f>50+10*($L65*Sensitivity!$B$6+$M65*Sensitivity!$C$6+$P65*Sensitivity!$D$6)</x:f>
        <x:v>54.66219518269782</x:v>
      </x:c>
      <x:c r="R65" s="27" t="n">
        <x:f>50+10*($L65*Sensitivity!$B$7+$M65*Sensitivity!$C$7+$P65*Sensitivity!$D$7)</x:f>
        <x:v>55.93403722218412</x:v>
      </x:c>
      <x:c r="S65" s="27" t="n">
        <x:f>50+10*($L65*Sensitivity!$B$8+$M65*Sensitivity!$C$8+$P65*Sensitivity!$D$8)</x:f>
        <x:v>55.26926394469305</x:v>
      </x:c>
      <x:c r="T65" s="27" t="n">
        <x:f>50+10*($L65*Sensitivity!$B$9+$M65*Sensitivity!$C$9+$P65*Sensitivity!$D$9)</x:f>
        <x:v>52.78328438121628</x:v>
      </x:c>
      <x:c r="U65" s="27" t="n">
        <x:f>50+10*($L65*Sensitivity!$B$10+$M65*Sensitivity!$C$10+$P65*Sensitivity!$D$10)</x:f>
        <x:v>56.16532382388305</x:v>
      </x:c>
      <x:c r="V65" s="27" t="n">
        <x:f>50+10*($L65*Sensitivity!$B$11+$M65*Sensitivity!$C$11+$P65*Sensitivity!$D$11)</x:f>
        <x:v>55.17093199849234</x:v>
      </x:c>
      <x:c r="W65" s="27" t="n">
        <x:f>50+10*($L65*Sensitivity!$B$12+$M65*Sensitivity!$C$12+$P65*Sensitivity!$D$12)</x:f>
        <x:v>53.91063086210521</x:v>
      </x:c>
      <x:c r="X65" s="27"/>
      <x:c r="Y65" s="27"/>
      <x:c r="Z65" s="27"/>
    </x:row>
    <x:row r="66">
      <x:c r="A66" s="27" t="str">
        <x:v>FLE_fixed_L10_R01_20260926T013941</x:v>
      </x:c>
      <x:c r="B66" s="27" t="str">
        <x:v>fixed</x:v>
      </x:c>
      <x:c r="C66" s="27" t="n">
        <x:v>10</x:v>
      </x:c>
      <x:c r="D66" s="27" t="n">
        <x:v>4279</x:v>
      </x:c>
      <x:c r="E66" s="27" t="n">
        <x:v>1324</x:v>
      </x:c>
      <x:c r="F66" s="27" t="str">
        <x:v>steam-power, automation-science-pack</x:v>
      </x:c>
      <x:c r="G66" s="27" t="str">
        <x:v>stone, iron-plate, coal, stone-furnace, iron-gear-wheel, burner-mining-drill, iron-ore</x:v>
      </x:c>
      <x:c r="H66" s="27" t="n">
        <x:f>IF(F66="",0,LEN(F66)-LEN(SUBSTITUTE(F66,",",""))+1)</x:f>
        <x:v>2</x:v>
      </x:c>
      <x:c r="I66" s="27" t="n">
        <x:f>IF(G66="",0,LEN(G66)-LEN(SUBSTITUTE(G66,",",""))+1)</x:f>
        <x:v>7</x:v>
      </x:c>
      <x:c r="J66" s="27" t="n">
        <x:f>LN(1+D66)</x:f>
        <x:v>8.361708288575842</x:v>
      </x:c>
      <x:c r="K66" s="27" t="n">
        <x:f>LN(1+E66)</x:f>
        <x:v>7.1891677384203225</x:v>
      </x:c>
      <x:c r="L66" s="27" t="n">
        <x:f>(J66-Method!$C$13)/Method!$D$13</x:f>
        <x:v>0.3732027835899521</x:v>
      </x:c>
      <x:c r="M66" s="27" t="n">
        <x:f>(K66-Method!$C$14)/Method!$D$14</x:f>
        <x:v>0.5107860639611166</x:v>
      </x:c>
      <x:c r="N66" s="27" t="n">
        <x:f>(H66-Method!$C$15)/Method!$D$15</x:f>
        <x:v>-0.2861487676222712</x:v>
      </x:c>
      <x:c r="O66" s="27" t="n">
        <x:f>(I66-Method!$C$16)/Method!$D$16</x:f>
        <x:v>-0.28454083702339367</x:v>
      </x:c>
      <x:c r="P66" s="27" t="n">
        <x:f>(N66+O66)/2</x:f>
        <x:v>-0.28534480232283244</x:v>
      </x:c>
      <x:c r="Q66" s="27" t="n">
        <x:f>50+10*($L66*Sensitivity!$B$6+$M66*Sensitivity!$C$6+$P66*Sensitivity!$D$6)</x:f>
        <x:v>51.99548015076079</x:v>
      </x:c>
      <x:c r="R66" s="27" t="n">
        <x:f>50+10*($L66*Sensitivity!$B$7+$M66*Sensitivity!$C$7+$P66*Sensitivity!$D$7)</x:f>
        <x:v>52.429617072045474</x:v>
      </x:c>
      <x:c r="S66" s="27" t="n">
        <x:f>50+10*($L66*Sensitivity!$B$8+$M66*Sensitivity!$C$8+$P66*Sensitivity!$D$8)</x:f>
        <x:v>52.77357527297338</x:v>
      </x:c>
      <x:c r="T66" s="27" t="n">
        <x:f>50+10*($L66*Sensitivity!$B$9+$M66*Sensitivity!$C$9+$P66*Sensitivity!$D$9)</x:f>
        <x:v>50.78324810726351</x:v>
      </x:c>
      <x:c r="U66" s="27" t="n">
        <x:f>50+10*($L66*Sensitivity!$B$10+$M66*Sensitivity!$C$10+$P66*Sensitivity!$D$10)</x:f>
        <x:v>52.96526578555861</x:v>
      </x:c>
      <x:c r="V66" s="27" t="n">
        <x:f>50+10*($L66*Sensitivity!$B$11+$M66*Sensitivity!$C$11+$P66*Sensitivity!$D$11)</x:f>
        <x:v>52.16913491927466</x:v>
      </x:c>
      <x:c r="W66" s="27" t="n">
        <x:f>50+10*($L66*Sensitivity!$B$12+$M66*Sensitivity!$C$12+$P66*Sensitivity!$D$12)</x:f>
        <x:v>51.510587333361876</x:v>
      </x:c>
      <x:c r="X66" s="27"/>
      <x:c r="Y66" s="27"/>
      <x:c r="Z66" s="27"/>
    </x:row>
    <x:row r="67">
      <x:c r="A67" s="27" t="str">
        <x:v>FLE_fixed_L10_R02_20260926T020902</x:v>
      </x:c>
      <x:c r="B67" s="27" t="str">
        <x:v>fixed</x:v>
      </x:c>
      <x:c r="C67" s="27" t="n">
        <x:v>10</x:v>
      </x:c>
      <x:c r="D67" s="27" t="n">
        <x:v>1685</x:v>
      </x:c>
      <x:c r="E67" s="27" t="n">
        <x:v>268</x:v>
      </x:c>
      <x:c r="F67" s="27" t="str">
        <x:v>steam-power, automation-science-pack</x:v>
      </x:c>
      <x:c r="G67" s="27" t="str">
        <x:v>iron-ore, iron-plate, burner-mining-drill, stone-furnace, stone, coal, iron-gear-wheel</x:v>
      </x:c>
      <x:c r="H67" s="27" t="n">
        <x:f>IF(F67="",0,LEN(F67)-LEN(SUBSTITUTE(F67,",",""))+1)</x:f>
        <x:v>2</x:v>
      </x:c>
      <x:c r="I67" s="27" t="n">
        <x:f>IF(G67="",0,LEN(G67)-LEN(SUBSTITUTE(G67,",",""))+1)</x:f>
        <x:v>7</x:v>
      </x:c>
      <x:c r="J67" s="27" t="n">
        <x:f>LN(1+D67)</x:f>
        <x:v>7.430114138561801</x:v>
      </x:c>
      <x:c r="K67" s="27" t="n">
        <x:f>LN(1+E67)</x:f>
        <x:v>5.594711379601839</x:v>
      </x:c>
      <x:c r="L67" s="27" t="n">
        <x:f>(J67-Method!$C$13)/Method!$D$13</x:f>
        <x:v>-1.4641283721927665</x:v>
      </x:c>
      <x:c r="M67" s="27" t="n">
        <x:f>(K67-Method!$C$14)/Method!$D$14</x:f>
        <x:v>-1.895732775617167</x:v>
      </x:c>
      <x:c r="N67" s="27" t="n">
        <x:f>(H67-Method!$C$15)/Method!$D$15</x:f>
        <x:v>-0.2861487676222712</x:v>
      </x:c>
      <x:c r="O67" s="27" t="n">
        <x:f>(I67-Method!$C$16)/Method!$D$16</x:f>
        <x:v>-0.28454083702339367</x:v>
      </x:c>
      <x:c r="P67" s="27" t="n">
        <x:f>(N67+O67)/2</x:f>
        <x:v>-0.28534480232283244</x:v>
      </x:c>
      <x:c r="Q67" s="27" t="n">
        <x:f>50+10*($L67*Sensitivity!$B$6+$M67*Sensitivity!$C$6+$P67*Sensitivity!$D$6)</x:f>
        <x:v>37.84931349955745</x:v>
      </x:c>
      <x:c r="R67" s="27" t="n">
        <x:f>50+10*($L67*Sensitivity!$B$7+$M67*Sensitivity!$C$7+$P67*Sensitivity!$D$7)</x:f>
        <x:v>37.22666419418617</x:v>
      </x:c>
      <x:c r="S67" s="27" t="n">
        <x:f>50+10*($L67*Sensitivity!$B$8+$M67*Sensitivity!$C$8+$P67*Sensitivity!$D$8)</x:f>
        <x:v>36.14765318562517</x:v>
      </x:c>
      <x:c r="T67" s="27" t="n">
        <x:f>50+10*($L67*Sensitivity!$B$9+$M67*Sensitivity!$C$9+$P67*Sensitivity!$D$9)</x:f>
        <x:v>40.173623118861</x:v>
      </x:c>
      <x:c r="U67" s="27" t="n">
        <x:f>50+10*($L67*Sensitivity!$B$10+$M67*Sensitivity!$C$10+$P67*Sensitivity!$D$10)</x:f>
        <x:v>35.9898658041146</x:v>
      </x:c>
      <x:c r="V67" s="27" t="n">
        <x:f>50+10*($L67*Sensitivity!$B$11+$M67*Sensitivity!$C$11+$P67*Sensitivity!$D$11)</x:f>
        <x:v>37.60025377740894</x:v>
      </x:c>
      <x:c r="W67" s="27" t="n">
        <x:f>50+10*($L67*Sensitivity!$B$12+$M67*Sensitivity!$C$12+$P67*Sensitivity!$D$12)</x:f>
        <x:v>38.77903734727887</x:v>
      </x:c>
      <x:c r="X67" s="27"/>
      <x:c r="Y67" s="27"/>
      <x:c r="Z67" s="27"/>
    </x:row>
    <x:row r="68">
      <x:c r="A68" s="27" t="str">
        <x:v>FLE_fixed_L10_R03_20260926T023429</x:v>
      </x:c>
      <x:c r="B68" s="27" t="str">
        <x:v>fixed</x:v>
      </x:c>
      <x:c r="C68" s="27" t="n">
        <x:v>10</x:v>
      </x:c>
      <x:c r="D68" s="27" t="n">
        <x:v>891</x:v>
      </x:c>
      <x:c r="E68" s="27" t="n">
        <x:v>161</x:v>
      </x:c>
      <x:c r="F68" s="27" t="str">
        <x:v>steam-power, automation-science-pack</x:v>
      </x:c>
      <x:c r="G68" s="27" t="str">
        <x:v>burner-mining-drill, iron-gear-wheel, iron-plate, stone-furnace, coal, stone, iron-ore</x:v>
      </x:c>
      <x:c r="H68" s="27" t="n">
        <x:f>IF(F68="",0,LEN(F68)-LEN(SUBSTITUTE(F68,",",""))+1)</x:f>
        <x:v>2</x:v>
      </x:c>
      <x:c r="I68" s="27" t="n">
        <x:f>IF(G68="",0,LEN(G68)-LEN(SUBSTITUTE(G68,",",""))+1)</x:f>
        <x:v>7</x:v>
      </x:c>
      <x:c r="J68" s="27" t="n">
        <x:f>LN(1+D68)</x:f>
        <x:v>6.79346613258001</x:v>
      </x:c>
      <x:c r="K68" s="27" t="n">
        <x:f>LN(1+E68)</x:f>
        <x:v>5.087596335232384</x:v>
      </x:c>
      <x:c r="L68" s="27" t="n">
        <x:f>(J68-Method!$C$13)/Method!$D$13</x:f>
        <x:v>-2.7197537071518325</x:v>
      </x:c>
      <x:c r="M68" s="27" t="n">
        <x:f>(K68-Method!$C$14)/Method!$D$14</x:f>
        <x:v>-2.66112337496414</x:v>
      </x:c>
      <x:c r="N68" s="27" t="n">
        <x:f>(H68-Method!$C$15)/Method!$D$15</x:f>
        <x:v>-0.2861487676222712</x:v>
      </x:c>
      <x:c r="O68" s="27" t="n">
        <x:f>(I68-Method!$C$16)/Method!$D$16</x:f>
        <x:v>-0.28454083702339367</x:v>
      </x:c>
      <x:c r="P68" s="27" t="n">
        <x:f>(N68+O68)/2</x:f>
        <x:v>-0.28534480232283244</x:v>
      </x:c>
      <x:c r="Q68" s="27" t="n">
        <x:f>50+10*($L68*Sensitivity!$B$6+$M68*Sensitivity!$C$6+$P68*Sensitivity!$D$6)</x:f>
        <x:v>31.11259371853732</x:v>
      </x:c>
      <x:c r="R68" s="27" t="n">
        <x:f>50+10*($L68*Sensitivity!$B$7+$M68*Sensitivity!$C$7+$P68*Sensitivity!$D$7)</x:f>
        <x:v>29.035061021023406</x:v>
      </x:c>
      <x:c r="S68" s="27" t="n">
        <x:f>50+10*($L68*Sensitivity!$B$8+$M68*Sensitivity!$C$8+$P68*Sensitivity!$D$8)</x:f>
        <x:v>29.181636851492637</x:v>
      </x:c>
      <x:c r="T68" s="27" t="n">
        <x:f>50+10*($L68*Sensitivity!$B$9+$M68*Sensitivity!$C$9+$P68*Sensitivity!$D$9)</x:f>
        <x:v>35.121083283095906</x:v>
      </x:c>
      <x:c r="U68" s="27" t="n">
        <x:f>50+10*($L68*Sensitivity!$B$10+$M68*Sensitivity!$C$10+$P68*Sensitivity!$D$10)</x:f>
        <x:v>27.905802066890445</x:v>
      </x:c>
      <x:c r="V68" s="27" t="n">
        <x:f>50+10*($L68*Sensitivity!$B$11+$M68*Sensitivity!$C$11+$P68*Sensitivity!$D$11)</x:f>
        <x:v>30.281580639531754</x:v>
      </x:c>
      <x:c r="W68" s="27" t="n">
        <x:f>50+10*($L68*Sensitivity!$B$12+$M68*Sensitivity!$C$12+$P68*Sensitivity!$D$12)</x:f>
        <x:v>32.71598954436075</x:v>
      </x:c>
      <x:c r="X68" s="27"/>
      <x:c r="Y68" s="27"/>
      <x:c r="Z68" s="27"/>
    </x:row>
    <x:row r="69">
      <x:c r="A69" s="27" t="str">
        <x:v>FLE_fixed_L11_R01_20260926T064657</x:v>
      </x:c>
      <x:c r="B69" s="27" t="str">
        <x:v>fixed</x:v>
      </x:c>
      <x:c r="C69" s="27" t="n">
        <x:v>11</x:v>
      </x:c>
      <x:c r="D69" s="27" t="n">
        <x:v>2781</x:v>
      </x:c>
      <x:c r="E69" s="27" t="n">
        <x:v>802</x:v>
      </x:c>
      <x:c r="F69" s="27" t="str">
        <x:v>steam-power, automation-science-pack</x:v>
      </x:c>
      <x:c r="G69" s="27" t="str">
        <x:v>burner-mining-drill, stone-furnace, iron-gear-wheel, iron-plate, stone, iron-ore, coal</x:v>
      </x:c>
      <x:c r="H69" s="27" t="n">
        <x:f>IF(F69="",0,LEN(F69)-LEN(SUBSTITUTE(F69,",",""))+1)</x:f>
        <x:v>2</x:v>
      </x:c>
      <x:c r="I69" s="27" t="n">
        <x:f>IF(G69="",0,LEN(G69)-LEN(SUBSTITUTE(G69,",",""))+1)</x:f>
        <x:v>7</x:v>
      </x:c>
      <x:c r="J69" s="27" t="n">
        <x:f>LN(1+D69)</x:f>
        <x:v>7.930925372483388</x:v>
      </x:c>
      <x:c r="K69" s="27" t="n">
        <x:f>LN(1+E69)</x:f>
        <x:v>6.688354713946762</x:v>
      </x:c>
      <x:c r="L69" s="27" t="n">
        <x:f>(J69-Method!$C$13)/Method!$D$13</x:f>
        <x:v>-0.4764063225896742</x:v>
      </x:c>
      <x:c r="M69" s="27" t="n">
        <x:f>(K69-Method!$C$14)/Method!$D$14</x:f>
        <x:v>-0.2450928736065994</x:v>
      </x:c>
      <x:c r="N69" s="27" t="n">
        <x:f>(H69-Method!$C$15)/Method!$D$15</x:f>
        <x:v>-0.2861487676222712</x:v>
      </x:c>
      <x:c r="O69" s="27" t="n">
        <x:f>(I69-Method!$C$16)/Method!$D$16</x:f>
        <x:v>-0.28454083702339367</x:v>
      </x:c>
      <x:c r="P69" s="27" t="n">
        <x:f>(N69+O69)/2</x:f>
        <x:v>-0.28534480232283244</x:v>
      </x:c>
      <x:c r="Q69" s="27" t="n">
        <x:f>50+10*($L69*Sensitivity!$B$6+$M69*Sensitivity!$C$6+$P69*Sensitivity!$D$6)</x:f>
        <x:v>46.64385333826965</x:v>
      </x:c>
      <x:c r="R69" s="27" t="n">
        <x:f>50+10*($L69*Sensitivity!$B$7+$M69*Sensitivity!$C$7+$P69*Sensitivity!$D$7)</x:f>
        <x:v>46.29187419722805</x:v>
      </x:c>
      <x:c r="S69" s="27" t="n">
        <x:f>50+10*($L69*Sensitivity!$B$8+$M69*Sensitivity!$C$8+$P69*Sensitivity!$D$8)</x:f>
        <x:v>46.87015781968574</x:v>
      </x:c>
      <x:c r="T69" s="27" t="n">
        <x:f>50+10*($L69*Sensitivity!$B$9+$M69*Sensitivity!$C$9+$P69*Sensitivity!$D$9)</x:f>
        <x:v>46.76952799789515</x:v>
      </x:c>
      <x:c r="U69" s="27" t="n">
        <x:f>50+10*($L69*Sensitivity!$B$10+$M69*Sensitivity!$C$10+$P69*Sensitivity!$D$10)</x:f>
        <x:v>46.54331361056924</x:v>
      </x:c>
      <x:c r="V69" s="27" t="n">
        <x:f>50+10*($L69*Sensitivity!$B$11+$M69*Sensitivity!$C$11+$P69*Sensitivity!$D$11)</x:f>
        <x:v>46.503061681853005</x:v>
      </x:c>
      <x:c r="W69" s="27" t="n">
        <x:f>50+10*($L69*Sensitivity!$B$12+$M69*Sensitivity!$C$12+$P69*Sensitivity!$D$12)</x:f>
        <x:v>46.69412320211985</x:v>
      </x:c>
      <x:c r="X69" s="27"/>
      <x:c r="Y69" s="27"/>
      <x:c r="Z69" s="27"/>
    </x:row>
    <x:row r="70">
      <x:c r="A70" s="27" t="str">
        <x:v>FLE_fixed_L11_R02_20260926T074630</x:v>
      </x:c>
      <x:c r="B70" s="27" t="str">
        <x:v>fixed</x:v>
      </x:c>
      <x:c r="C70" s="27" t="n">
        <x:v>11</x:v>
      </x:c>
      <x:c r="D70" s="27" t="n">
        <x:v>5659</x:v>
      </x:c>
      <x:c r="E70" s="27" t="n">
        <x:v>1823</x:v>
      </x:c>
      <x:c r="F70" s="27" t="str">
        <x:v>steam-power, automation-science-pack</x:v>
      </x:c>
      <x:c r="G70" s="27" t="str">
        <x:v>burner-mining-drill, coal, iron-ore, iron-plate, iron-gear-wheel, stone, stone-furnace</x:v>
      </x:c>
      <x:c r="H70" s="27" t="n">
        <x:f>IF(F70="",0,LEN(F70)-LEN(SUBSTITUTE(F70,",",""))+1)</x:f>
        <x:v>2</x:v>
      </x:c>
      <x:c r="I70" s="27" t="n">
        <x:f>IF(G70="",0,LEN(G70)-LEN(SUBSTITUTE(G70,",",""))+1)</x:f>
        <x:v>7</x:v>
      </x:c>
      <x:c r="J70" s="27" t="n">
        <x:f>LN(1+D70)</x:f>
        <x:v>8.641179171197228</x:v>
      </x:c>
      <x:c r="K70" s="27" t="n">
        <x:f>LN(1+E70)</x:f>
        <x:v>7.508787170634276</x:v>
      </x:c>
      <x:c r="L70" s="27" t="n">
        <x:f>(J70-Method!$C$13)/Method!$D$13</x:f>
        <x:v>0.9243876099079656</x:v>
      </x:c>
      <x:c r="M70" s="27" t="n">
        <x:f>(K70-Method!$C$14)/Method!$D$14</x:f>
        <x:v>0.9931888471192338</x:v>
      </x:c>
      <x:c r="N70" s="27" t="n">
        <x:f>(H70-Method!$C$15)/Method!$D$15</x:f>
        <x:v>-0.2861487676222712</x:v>
      </x:c>
      <x:c r="O70" s="27" t="n">
        <x:f>(I70-Method!$C$16)/Method!$D$16</x:f>
        <x:v>-0.28454083702339367</x:v>
      </x:c>
      <x:c r="P70" s="27" t="n">
        <x:f>(N70+O70)/2</x:f>
        <x:v>-0.28534480232283244</x:v>
      </x:c>
      <x:c r="Q70" s="27" t="n">
        <x:f>50+10*($L70*Sensitivity!$B$6+$M70*Sensitivity!$C$6+$P70*Sensitivity!$D$6)</x:f>
        <x:v>55.44077218234789</x:v>
      </x:c>
      <x:c r="R70" s="27" t="n">
        <x:f>50+10*($L70*Sensitivity!$B$7+$M70*Sensitivity!$C$7+$P70*Sensitivity!$D$7)</x:f>
        <x:v>56.391548161530835</x:v>
      </x:c>
      <x:c r="S70" s="27" t="n">
        <x:f>50+10*($L70*Sensitivity!$B$8+$M70*Sensitivity!$C$8+$P70*Sensitivity!$D$8)</x:f>
        <x:v>56.563551254559</x:v>
      </x:c>
      <x:c r="T70" s="27" t="n">
        <x:f>50+10*($L70*Sensitivity!$B$9+$M70*Sensitivity!$C$9+$P70*Sensitivity!$D$9)</x:f>
        <x:v>53.36721713095384</x:v>
      </x:c>
      <x:c r="U70" s="27" t="n">
        <x:f>50+10*($L70*Sensitivity!$B$10+$M70*Sensitivity!$C$10+$P70*Sensitivity!$D$10)</x:f>
        <x:v>57.09961622346314</x:v>
      </x:c>
      <x:c r="V70" s="27" t="n">
        <x:f>50+10*($L70*Sensitivity!$B$11+$M70*Sensitivity!$C$11+$P70*Sensitivity!$D$11)</x:f>
        <x:v>55.82108257402106</x:v>
      </x:c>
      <x:c r="W70" s="27" t="n">
        <x:f>50+10*($L70*Sensitivity!$B$12+$M70*Sensitivity!$C$12+$P70*Sensitivity!$D$12)</x:f>
        <x:v>54.61135016179027</x:v>
      </x:c>
      <x:c r="X70" s="27"/>
      <x:c r="Y70" s="27"/>
      <x:c r="Z70" s="27"/>
    </x:row>
    <x:row r="71">
      <x:c r="A71" s="27" t="str">
        <x:v>FLE_fixed_L11_R03_20260926T085736</x:v>
      </x:c>
      <x:c r="B71" s="27" t="str">
        <x:v>fixed</x:v>
      </x:c>
      <x:c r="C71" s="27" t="n">
        <x:v>11</x:v>
      </x:c>
      <x:c r="D71" s="27" t="n">
        <x:v>3856</x:v>
      </x:c>
      <x:c r="E71" s="27" t="n">
        <x:v>1191</x:v>
      </x:c>
      <x:c r="F71" s="27" t="str">
        <x:v>automation-science-pack, steam-power</x:v>
      </x:c>
      <x:c r="G71" s="27" t="str">
        <x:v>wooden-chest, stone, iron-ore, iron-gear-wheel, iron-plate, burner-mining-drill, wood, coal, stone-furnace</x:v>
      </x:c>
      <x:c r="H71" s="27" t="n">
        <x:f>IF(F71="",0,LEN(F71)-LEN(SUBSTITUTE(F71,",",""))+1)</x:f>
        <x:v>2</x:v>
      </x:c>
      <x:c r="I71" s="27" t="n">
        <x:f>IF(G71="",0,LEN(G71)-LEN(SUBSTITUTE(G71,",",""))+1)</x:f>
        <x:v>9</x:v>
      </x:c>
      <x:c r="J71" s="27" t="n">
        <x:f>LN(1+D71)</x:f>
        <x:v>8.257644958208228</x:v>
      </x:c>
      <x:c r="K71" s="27" t="n">
        <x:f>LN(1+E71)</x:f>
        <x:v>7.083387847625295</x:v>
      </x:c>
      <x:c r="L71" s="27" t="n">
        <x:f>(J71-Method!$C$13)/Method!$D$13</x:f>
        <x:v>0.1679644842124329</x:v>
      </x:c>
      <x:c r="M71" s="27" t="n">
        <x:f>(K71-Method!$C$14)/Method!$D$14</x:f>
        <x:v>0.3511320862032054</x:v>
      </x:c>
      <x:c r="N71" s="27" t="n">
        <x:f>(H71-Method!$C$15)/Method!$D$15</x:f>
        <x:v>-0.2861487676222712</x:v>
      </x:c>
      <x:c r="O71" s="27" t="n">
        <x:f>(I71-Method!$C$16)/Method!$D$16</x:f>
        <x:v>1.8420275238882846</x:v>
      </x:c>
      <x:c r="P71" s="27" t="n">
        <x:f>(N71+O71)/2</x:f>
        <x:v>0.7779393781330067</x:v>
      </x:c>
      <x:c r="Q71" s="27" t="n">
        <x:f>50+10*($L71*Sensitivity!$B$6+$M71*Sensitivity!$C$6+$P71*Sensitivity!$D$6)</x:f>
        <x:v>54.323453161828816</x:v>
      </x:c>
      <x:c r="R71" s="27" t="n">
        <x:f>50+10*($L71*Sensitivity!$B$7+$M71*Sensitivity!$C$7+$P71*Sensitivity!$D$7)</x:f>
        <x:v>53.6625010819027</x:v>
      </x:c>
      <x:c r="S71" s="27" t="n">
        <x:f>50+10*($L71*Sensitivity!$B$8+$M71*Sensitivity!$C$8+$P71*Sensitivity!$D$8)</x:f>
        <x:v>54.120420086879626</x:v>
      </x:c>
      <x:c r="T71" s="27" t="n">
        <x:f>50+10*($L71*Sensitivity!$B$9+$M71*Sensitivity!$C$9+$P71*Sensitivity!$D$9)</x:f>
        <x:v>55.18743831670413</x:v>
      </x:c>
      <x:c r="U71" s="27" t="n">
        <x:f>50+10*($L71*Sensitivity!$B$10+$M71*Sensitivity!$C$10+$P71*Sensitivity!$D$10)</x:f>
        <x:v>53.63226503792857</x:v>
      </x:c>
      <x:c r="V71" s="27" t="n">
        <x:f>50+10*($L71*Sensitivity!$B$11+$M71*Sensitivity!$C$11+$P71*Sensitivity!$D$11)</x:f>
        <x:v>54.05907232985837</x:v>
      </x:c>
      <x:c r="W71" s="27" t="n">
        <x:f>50+10*($L71*Sensitivity!$B$12+$M71*Sensitivity!$C$12+$P71*Sensitivity!$D$12)</x:f>
        <x:v>54.66904722377894</x:v>
      </x:c>
      <x:c r="X71" s="27"/>
      <x:c r="Y71" s="27"/>
      <x:c r="Z71" s="27"/>
    </x:row>
    <x:row r="72">
      <x:c r="A72" s="27" t="str">
        <x:v>FLE_fixed_L12_R01_20260926T165242</x:v>
      </x:c>
      <x:c r="B72" s="27" t="str">
        <x:v>fixed</x:v>
      </x:c>
      <x:c r="C72" s="27" t="n">
        <x:v>12</x:v>
      </x:c>
      <x:c r="D72" s="27" t="n">
        <x:v>2453</x:v>
      </x:c>
      <x:c r="E72" s="27" t="n">
        <x:v>414</x:v>
      </x:c>
      <x:c r="F72" s="27" t="str">
        <x:v>steam-power, automation-science-pack</x:v>
      </x:c>
      <x:c r="G72" s="27" t="str">
        <x:v>iron-ore, iron-plate, iron-chest, coal, stone, burner-mining-drill, iron-gear-wheel, stone-furnace</x:v>
      </x:c>
      <x:c r="H72" s="27" t="n">
        <x:f>IF(F72="",0,LEN(F72)-LEN(SUBSTITUTE(F72,",",""))+1)</x:f>
        <x:v>2</x:v>
      </x:c>
      <x:c r="I72" s="27" t="n">
        <x:f>IF(G72="",0,LEN(G72)-LEN(SUBSTITUTE(G72,",",""))+1)</x:f>
        <x:v>8</x:v>
      </x:c>
      <x:c r="J72" s="27" t="n">
        <x:f>LN(1+D72)</x:f>
        <x:v>7.805474625270857</x:v>
      </x:c>
      <x:c r="K72" s="27" t="n">
        <x:f>LN(1+E72)</x:f>
        <x:v>6.028278520230698</x:v>
      </x:c>
      <x:c r="L72" s="27" t="n">
        <x:f>(J72-Method!$C$13)/Method!$D$13</x:f>
        <x:v>-0.7238258307159675</x:v>
      </x:c>
      <x:c r="M72" s="27" t="n">
        <x:f>(K72-Method!$C$14)/Method!$D$14</x:f>
        <x:v>-1.241348297563091</x:v>
      </x:c>
      <x:c r="N72" s="27" t="n">
        <x:f>(H72-Method!$C$15)/Method!$D$15</x:f>
        <x:v>-0.2861487676222712</x:v>
      </x:c>
      <x:c r="O72" s="27" t="n">
        <x:f>(I72-Method!$C$16)/Method!$D$16</x:f>
        <x:v>0.7787433434324454</x:v>
      </x:c>
      <x:c r="P72" s="27" t="n">
        <x:f>(N72+O72)/2</x:f>
        <x:v>0.24629728790508712</x:v>
      </x:c>
      <x:c r="Q72" s="27" t="n">
        <x:f>50+10*($L72*Sensitivity!$B$6+$M72*Sensitivity!$C$6+$P72*Sensitivity!$D$6)</x:f>
        <x:v>44.270410532086764</x:v>
      </x:c>
      <x:c r="R72" s="27" t="n">
        <x:f>50+10*($L72*Sensitivity!$B$7+$M72*Sensitivity!$C$7+$P72*Sensitivity!$D$7)</x:f>
        <x:v>43.893243322275154</x:v>
      </x:c>
      <x:c r="S72" s="27" t="n">
        <x:f>50+10*($L72*Sensitivity!$B$8+$M72*Sensitivity!$C$8+$P72*Sensitivity!$D$8)</x:f>
        <x:v>42.59943715515735</x:v>
      </x:c>
      <x:c r="T72" s="27" t="n">
        <x:f>50+10*($L72*Sensitivity!$B$9+$M72*Sensitivity!$C$9+$P72*Sensitivity!$D$9)</x:f>
        <x:v>46.31855111882779</x:v>
      </x:c>
      <x:c r="U72" s="27" t="n">
        <x:f>50+10*($L72*Sensitivity!$B$10+$M72*Sensitivity!$C$10+$P72*Sensitivity!$D$10)</x:f>
        <x:v>42.63189806269394</x:v>
      </x:c>
      <x:c r="V72" s="27" t="n">
        <x:f>50+10*($L72*Sensitivity!$B$11+$M72*Sensitivity!$C$11+$P72*Sensitivity!$D$11)</x:f>
        <x:v>44.11954364816212</x:v>
      </x:c>
      <x:c r="W72" s="27" t="n">
        <x:f>50+10*($L72*Sensitivity!$B$12+$M72*Sensitivity!$C$12+$P72*Sensitivity!$D$12)</x:f>
        <x:v>45.089666766783175</x:v>
      </x:c>
      <x:c r="X72" s="27"/>
      <x:c r="Y72" s="27"/>
      <x:c r="Z72" s="27"/>
    </x:row>
    <x:row r="73">
      <x:c r="A73" s="27" t="str">
        <x:v>FLE_fixed_L12_R02_20260926T174139</x:v>
      </x:c>
      <x:c r="B73" s="27" t="str">
        <x:v>fixed</x:v>
      </x:c>
      <x:c r="C73" s="27" t="n">
        <x:v>12</x:v>
      </x:c>
      <x:c r="D73" s="27" t="n">
        <x:v>1487</x:v>
      </x:c>
      <x:c r="E73" s="27" t="n">
        <x:v>256</x:v>
      </x:c>
      <x:c r="F73" s="27" t="str">
        <x:v>automation-science-pack, steam-power</x:v>
      </x:c>
      <x:c r="G73" s="27" t="str">
        <x:v>wood, iron-gear-wheel, coal, iron-plate, stone-furnace, iron-ore, burner-mining-drill, stone</x:v>
      </x:c>
      <x:c r="H73" s="27" t="n">
        <x:f>IF(F73="",0,LEN(F73)-LEN(SUBSTITUTE(F73,",",""))+1)</x:f>
        <x:v>2</x:v>
      </x:c>
      <x:c r="I73" s="27" t="n">
        <x:f>IF(G73="",0,LEN(G73)-LEN(SUBSTITUTE(G73,",",""))+1)</x:f>
        <x:v>8</x:v>
      </x:c>
      <x:c r="J73" s="27" t="n">
        <x:f>LN(1+D73)</x:f>
        <x:v>7.305188215393037</x:v>
      </x:c>
      <x:c r="K73" s="27" t="n">
        <x:f>LN(1+E73)</x:f>
        <x:v>5.54907608489522</x:v>
      </x:c>
      <x:c r="L73" s="27" t="n">
        <x:f>(J73-Method!$C$13)/Method!$D$13</x:f>
        <x:v>-1.7105127991445976</x:v>
      </x:c>
      <x:c r="M73" s="27" t="n">
        <x:f>(K73-Method!$C$14)/Method!$D$14</x:f>
        <x:v>-1.9646102935584955</x:v>
      </x:c>
      <x:c r="N73" s="27" t="n">
        <x:f>(H73-Method!$C$15)/Method!$D$15</x:f>
        <x:v>-0.2861487676222712</x:v>
      </x:c>
      <x:c r="O73" s="27" t="n">
        <x:f>(I73-Method!$C$16)/Method!$D$16</x:f>
        <x:v>0.7787433434324454</x:v>
      </x:c>
      <x:c r="P73" s="27" t="n">
        <x:f>(N73+O73)/2</x:f>
        <x:v>0.24629728790508712</x:v>
      </x:c>
      <x:c r="Q73" s="27" t="n">
        <x:f>50+10*($L73*Sensitivity!$B$6+$M73*Sensitivity!$C$6+$P73*Sensitivity!$D$6)</x:f>
        <x:v>38.570580650673314</x:v>
      </x:c>
      <x:c r="R73" s="27" t="n">
        <x:f>50+10*($L73*Sensitivity!$B$7+$M73*Sensitivity!$C$7+$P73*Sensitivity!$D$7)</x:f>
        <x:v>37.15165349014349</x:v>
      </x:c>
      <x:c r="S73" s="27" t="n">
        <x:f>50+10*($L73*Sensitivity!$B$8+$M73*Sensitivity!$C$8+$P73*Sensitivity!$D$8)</x:f>
        <x:v>36.51640975410875</x:v>
      </x:c>
      <x:c r="T73" s="27" t="n">
        <x:f>50+10*($L73*Sensitivity!$B$9+$M73*Sensitivity!$C$9+$P73*Sensitivity!$D$9)</x:f>
        <x:v>42.043678707767704</x:v>
      </x:c>
      <x:c r="U73" s="27" t="n">
        <x:f>50+10*($L73*Sensitivity!$B$10+$M73*Sensitivity!$C$10+$P73*Sensitivity!$D$10)</x:f>
        <x:v>35.7921022049978</x:v>
      </x:c>
      <x:c r="V73" s="27" t="n">
        <x:f>50+10*($L73*Sensitivity!$B$11+$M73*Sensitivity!$C$11+$P73*Sensitivity!$D$11)</x:f>
        <x:v>38.003009786461384</x:v>
      </x:c>
      <x:c r="W73" s="27" t="n">
        <x:f>50+10*($L73*Sensitivity!$B$12+$M73*Sensitivity!$C$12+$P73*Sensitivity!$D$12)</x:f>
        <x:v>39.95981987351107</x:v>
      </x:c>
      <x:c r="X73" s="27"/>
      <x:c r="Y73" s="27"/>
      <x:c r="Z73" s="27"/>
    </x:row>
    <x:row r="74">
      <x:c r="A74" s="27" t="str">
        <x:v>FLE_fixed_L12_R03_20260926T182425</x:v>
      </x:c>
      <x:c r="B74" s="27" t="str">
        <x:v>fixed</x:v>
      </x:c>
      <x:c r="C74" s="27" t="n">
        <x:v>12</x:v>
      </x:c>
      <x:c r="D74" s="27" t="n">
        <x:v>2184</x:v>
      </x:c>
      <x:c r="E74" s="27" t="n">
        <x:v>504</x:v>
      </x:c>
      <x:c r="F74" s="27" t="str">
        <x:v>automation-science-pack, steam-power</x:v>
      </x:c>
      <x:c r="G74" s="27" t="str">
        <x:v>iron-plate, stone-furnace, burner-mining-drill, wooden-chest, coal, iron-gear-wheel, stone, iron-ore, wood</x:v>
      </x:c>
      <x:c r="H74" s="27" t="n">
        <x:f>IF(F74="",0,LEN(F74)-LEN(SUBSTITUTE(F74,",",""))+1)</x:f>
        <x:v>2</x:v>
      </x:c>
      <x:c r="I74" s="27" t="n">
        <x:f>IF(G74="",0,LEN(G74)-LEN(SUBSTITUTE(G74,",",""))+1)</x:f>
        <x:v>9</x:v>
      </x:c>
      <x:c r="J74" s="27" t="n">
        <x:f>LN(1+D74)</x:f>
        <x:v>7.68937110752969</x:v>
      </x:c>
      <x:c r="K74" s="27" t="n">
        <x:f>LN(1+E74)</x:f>
        <x:v>6.22455842927536</x:v>
      </x:c>
      <x:c r="L74" s="27" t="n">
        <x:f>(J74-Method!$C$13)/Method!$D$13</x:f>
        <x:v>-0.9528103197647674</x:v>
      </x:c>
      <x:c r="M74" s="27" t="n">
        <x:f>(K74-Method!$C$14)/Method!$D$14</x:f>
        <x:v>-0.9451023098104306</x:v>
      </x:c>
      <x:c r="N74" s="27" t="n">
        <x:f>(H74-Method!$C$15)/Method!$D$15</x:f>
        <x:v>-0.2861487676222712</x:v>
      </x:c>
      <x:c r="O74" s="27" t="n">
        <x:f>(I74-Method!$C$16)/Method!$D$16</x:f>
        <x:v>1.8420275238882846</x:v>
      </x:c>
      <x:c r="P74" s="27" t="n">
        <x:f>(N74+O74)/2</x:f>
        <x:v>0.7779393781330067</x:v>
      </x:c>
      <x:c r="Q74" s="27" t="n">
        <x:f>50+10*($L74*Sensitivity!$B$6+$M74*Sensitivity!$C$6+$P74*Sensitivity!$D$6)</x:f>
        <x:v>46.26675582852603</x:v>
      </x:c>
      <x:c r="R74" s="27" t="n">
        <x:f>50+10*($L74*Sensitivity!$B$7+$M74*Sensitivity!$C$7+$P74*Sensitivity!$D$7)</x:f>
        <x:v>44.818041071982606</x:v>
      </x:c>
      <x:c r="S74" s="27" t="n">
        <x:f>50+10*($L74*Sensitivity!$B$8+$M74*Sensitivity!$C$8+$P74*Sensitivity!$D$8)</x:f>
        <x:v>44.83731109686845</x:v>
      </x:c>
      <x:c r="T74" s="27" t="n">
        <x:f>50+10*($L74*Sensitivity!$B$9+$M74*Sensitivity!$C$9+$P74*Sensitivity!$D$9)</x:f>
        <x:v>49.14491531672704</x:v>
      </x:c>
      <x:c r="U74" s="27" t="n">
        <x:f>50+10*($L74*Sensitivity!$B$10+$M74*Sensitivity!$C$10+$P74*Sensitivity!$D$10)</x:f>
        <x:v>43.96422823796522</x:v>
      </x:c>
      <x:c r="V74" s="27" t="n">
        <x:f>50+10*($L74*Sensitivity!$B$11+$M74*Sensitivity!$C$11+$P74*Sensitivity!$D$11)</x:f>
        <x:v>45.68726992590866</x:v>
      </x:c>
      <x:c r="W74" s="27" t="n">
        <x:f>50+10*($L74*Sensitivity!$B$12+$M74*Sensitivity!$C$12+$P74*Sensitivity!$D$12)</x:f>
        <x:v>47.41801962380643</x:v>
      </x:c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W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5" customHeight="1">
      <x:c r="A2" s="61" t="str">
        <x:v>Full weight grid (0.1 increments)</x:v>
      </x:c>
      <x:c r="B2" s="61"/>
      <x:c r="C2" s="61"/>
      <x:c r="D2" s="61"/>
      <x:c r="E2" s="61"/>
      <x:c r="F2" s="61"/>
      <x:c r="G2" s="61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4" t="str">
        <x:v>Production wt</x:v>
      </x:c>
      <x:c r="B4" s="35" t="str">
        <x:v>Automation wt</x:v>
      </x:c>
      <x:c r="C4" s="35" t="str">
        <x:v>Advancement wt</x:v>
      </x:c>
      <x:c r="D4" s="35" t="str">
        <x:v>Adaptive minus fixed</x:v>
      </x:c>
      <x:c r="E4" s="35" t="str">
        <x:v>Hedges' g</x:v>
      </x:c>
      <x:c r="F4" s="35" t="str">
        <x:v>Baseline-adjusted difference</x:v>
      </x:c>
      <x:c r="G4" s="36" t="str">
        <x:v>Rank correlation vs equal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81" t="n">
        <x:v>0</x:v>
      </x:c>
      <x:c r="B5" s="81" t="n">
        <x:v>0</x:v>
      </x:c>
      <x:c r="C5" s="81" t="n">
        <x:v>1</x:v>
      </x:c>
      <x:c r="D5" s="69" t="n">
        <x:v>2.6345920604580826</x:v>
      </x:c>
      <x:c r="E5" s="69" t="n">
        <x:v>0.3908158074390692</x:v>
      </x:c>
      <x:c r="F5" s="69" t="n">
        <x:v>0.9720247200959302</x:v>
      </x:c>
      <x:c r="G5" s="69" t="n">
        <x:v>0.2555757871651624</x:v>
      </x:c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81" t="n">
        <x:v>0</x:v>
      </x:c>
      <x:c r="B6" s="81" t="n">
        <x:v>0.1</x:v>
      </x:c>
      <x:c r="C6" s="81" t="n">
        <x:v>0.9</x:v>
      </x:c>
      <x:c r="D6" s="69" t="n">
        <x:v>3.079553919147621</x:v>
      </x:c>
      <x:c r="E6" s="69" t="n">
        <x:v>0.5034758186663132</x:v>
      </x:c>
      <x:c r="F6" s="69" t="n">
        <x:v>0.9247970081495525</x:v>
      </x:c>
      <x:c r="G6" s="69" t="n">
        <x:v>0.4682616245417712</x:v>
      </x:c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81" t="n">
        <x:v>0</x:v>
      </x:c>
      <x:c r="B7" s="81" t="n">
        <x:v>0.2</x:v>
      </x:c>
      <x:c r="C7" s="81" t="n">
        <x:v>0.8</x:v>
      </x:c>
      <x:c r="D7" s="69" t="n">
        <x:v>3.5245157778371663</x:v>
      </x:c>
      <x:c r="E7" s="69" t="n">
        <x:v>0.6214438740304998</x:v>
      </x:c>
      <x:c r="F7" s="69" t="n">
        <x:v>0.8775692962031556</x:v>
      </x:c>
      <x:c r="G7" s="69" t="n">
        <x:v>0.6005209338221109</x:v>
      </x:c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81" t="n">
        <x:v>0</x:v>
      </x:c>
      <x:c r="B8" s="81" t="n">
        <x:v>0.3</x:v>
      </x:c>
      <x:c r="C8" s="81" t="n">
        <x:v>0.7</x:v>
      </x:c>
      <x:c r="D8" s="69" t="n">
        <x:v>3.9694776365267117</x:v>
      </x:c>
      <x:c r="E8" s="69" t="n">
        <x:v>0.728322959093979</x:v>
      </x:c>
      <x:c r="F8" s="69" t="n">
        <x:v>0.8303415842567707</x:v>
      </x:c>
      <x:c r="G8" s="69" t="n">
        <x:v>0.7213968743970675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81" t="n">
        <x:v>0</x:v>
      </x:c>
      <x:c r="B9" s="81" t="n">
        <x:v>0.4</x:v>
      </x:c>
      <x:c r="C9" s="81" t="n">
        <x:v>0.6</x:v>
      </x:c>
      <x:c r="D9" s="69" t="n">
        <x:v>4.414439495216271</x:v>
      </x:c>
      <x:c r="E9" s="69" t="n">
        <x:v>0.8055887882009453</x:v>
      </x:c>
      <x:c r="F9" s="69" t="n">
        <x:v>0.783113872310385</x:v>
      </x:c>
      <x:c r="G9" s="69" t="n">
        <x:v>0.845970801980835</x:v>
      </x:c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81" t="n">
        <x:v>0</x:v>
      </x:c>
      <x:c r="B10" s="81" t="n">
        <x:v>0.5</x:v>
      </x:c>
      <x:c r="C10" s="81" t="n">
        <x:v>0.5</x:v>
      </x:c>
      <x:c r="D10" s="69" t="n">
        <x:v>4.859401353905817</x:v>
      </x:c>
      <x:c r="E10" s="69" t="n">
        <x:v>0.8441672709380533</x:v>
      </x:c>
      <x:c r="F10" s="69" t="n">
        <x:v>0.735886160363993</x:v>
      </x:c>
      <x:c r="G10" s="69" t="n">
        <x:v>0.925557913692199</x:v>
      </x:c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81" t="n">
        <x:v>0</x:v>
      </x:c>
      <x:c r="B11" s="81" t="n">
        <x:v>0.6</x:v>
      </x:c>
      <x:c r="C11" s="81" t="n">
        <x:v>0.4</x:v>
      </x:c>
      <x:c r="D11" s="69" t="n">
        <x:v>5.304363212595369</x:v>
      </x:c>
      <x:c r="E11" s="69" t="n">
        <x:v>0.8490445937046985</x:v>
      </x:c>
      <x:c r="F11" s="69" t="n">
        <x:v>0.688658448417609</x:v>
      </x:c>
      <x:c r="G11" s="69" t="n">
        <x:v>0.9753681908804426</x:v>
      </x:c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81" t="n">
        <x:v>0</x:v>
      </x:c>
      <x:c r="B12" s="81" t="n">
        <x:v>0.7</x:v>
      </x:c>
      <x:c r="C12" s="81" t="n">
        <x:v>0.3</x:v>
      </x:c>
      <x:c r="D12" s="69" t="n">
        <x:v>5.749325071284893</x:v>
      </x:c>
      <x:c r="E12" s="69" t="n">
        <x:v>0.8323635854539864</x:v>
      </x:c>
      <x:c r="F12" s="69" t="n">
        <x:v>0.6414307364712153</x:v>
      </x:c>
      <x:c r="G12" s="69" t="n">
        <x:v>0.9872017493086372</x:v>
      </x:c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81" t="n">
        <x:v>0</x:v>
      </x:c>
      <x:c r="B13" s="81" t="n">
        <x:v>0.8</x:v>
      </x:c>
      <x:c r="C13" s="81" t="n">
        <x:v>0.2</x:v>
      </x:c>
      <x:c r="D13" s="69" t="n">
        <x:v>6.194286929974453</x:v>
      </x:c>
      <x:c r="E13" s="69" t="n">
        <x:v>0.8052398330092885</x:v>
      </x:c>
      <x:c r="F13" s="69" t="n">
        <x:v>0.5942030245248331</x:v>
      </x:c>
      <x:c r="G13" s="69" t="n">
        <x:v>0.9667502733294747</x:v>
      </x:c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81" t="n">
        <x:v>0</x:v>
      </x:c>
      <x:c r="B14" s="81" t="n">
        <x:v>0.9</x:v>
      </x:c>
      <x:c r="C14" s="81" t="n">
        <x:v>0.1</x:v>
      </x:c>
      <x:c r="D14" s="69" t="n">
        <x:v>6.6392487886640055</x:v>
      </x:c>
      <x:c r="E14" s="69" t="n">
        <x:v>0.7748198547730287</x:v>
      </x:c>
      <x:c r="F14" s="69" t="n">
        <x:v>0.5469753125784402</x:v>
      </x:c>
      <x:c r="G14" s="69" t="n">
        <x:v>0.928902180204515</x:v>
      </x:c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81" t="n">
        <x:v>0</x:v>
      </x:c>
      <x:c r="B15" s="81" t="n">
        <x:v>1</x:v>
      </x:c>
      <x:c r="C15" s="81" t="n">
        <x:v>0</x:v>
      </x:c>
      <x:c r="D15" s="69" t="n">
        <x:v>7.084210647353551</x:v>
      </x:c>
      <x:c r="E15" s="69" t="n">
        <x:v>0.7448465956208082</x:v>
      </x:c>
      <x:c r="F15" s="69" t="n">
        <x:v>0.4997476006320589</x:v>
      </x:c>
      <x:c r="G15" s="69" t="n">
        <x:v>0.8869684059350518</x:v>
      </x:c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81" t="n">
        <x:v>0.1</x:v>
      </x:c>
      <x:c r="B16" s="81" t="n">
        <x:v>0</x:v>
      </x:c>
      <x:c r="C16" s="81" t="n">
        <x:v>0.9</x:v>
      </x:c>
      <x:c r="D16" s="69" t="n">
        <x:v>3.021741766427624</x:v>
      </x:c>
      <x:c r="E16" s="69" t="n">
        <x:v>0.49728952010902683</x:v>
      </x:c>
      <x:c r="F16" s="69" t="n">
        <x:v>0.7151680264109688</x:v>
      </x:c>
      <x:c r="G16" s="69" t="n">
        <x:v>0.469901601389157</x:v>
      </x:c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81" t="n">
        <x:v>0.1</x:v>
      </x:c>
      <x:c r="B17" s="81" t="n">
        <x:v>0.1</x:v>
      </x:c>
      <x:c r="C17" s="81" t="n">
        <x:v>0.8</x:v>
      </x:c>
      <x:c r="D17" s="69" t="n">
        <x:v>3.4667036251171766</x:v>
      </x:c>
      <x:c r="E17" s="69" t="n">
        <x:v>0.6161945108943331</x:v>
      </x:c>
      <x:c r="F17" s="69" t="n">
        <x:v>0.6679403144645808</x:v>
      </x:c>
      <x:c r="G17" s="69" t="n">
        <x:v>0.5987844877484083</x:v>
      </x:c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81" t="n">
        <x:v>0.1</x:v>
      </x:c>
      <x:c r="B18" s="81" t="n">
        <x:v>0.2</x:v>
      </x:c>
      <x:c r="C18" s="81" t="n">
        <x:v>0.7</x:v>
      </x:c>
      <x:c r="D18" s="69" t="n">
        <x:v>3.911665483806722</x:v>
      </x:c>
      <x:c r="E18" s="69" t="n">
        <x:v>0.7243107594000008</x:v>
      </x:c>
      <x:c r="F18" s="69" t="n">
        <x:v>0.6207126025181906</x:v>
      </x:c>
      <x:c r="G18" s="69" t="n">
        <x:v>0.7235513537848095</x:v>
      </x:c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81" t="n">
        <x:v>0.1</x:v>
      </x:c>
      <x:c r="B19" s="81" t="n">
        <x:v>0.3</x:v>
      </x:c>
      <x:c r="C19" s="81" t="n">
        <x:v>0.6</x:v>
      </x:c>
      <x:c r="D19" s="69" t="n">
        <x:v>4.3566273424962745</x:v>
      </x:c>
      <x:c r="E19" s="69" t="n">
        <x:v>0.8025964832444753</x:v>
      </x:c>
      <x:c r="F19" s="69" t="n">
        <x:v>0.5734848905718062</x:v>
      </x:c>
      <x:c r="G19" s="69" t="n">
        <x:v>0.8584153321757027</x:v>
      </x:c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81" t="n">
        <x:v>0.1</x:v>
      </x:c>
      <x:c r="B20" s="81" t="n">
        <x:v>0.4</x:v>
      </x:c>
      <x:c r="C20" s="81" t="n">
        <x:v>0.5</x:v>
      </x:c>
      <x:c r="D20" s="69" t="n">
        <x:v>4.80158920118582</x:v>
      </x:c>
      <x:c r="E20" s="69" t="n">
        <x:v>0.8416150905233798</x:v>
      </x:c>
      <x:c r="F20" s="69" t="n">
        <x:v>0.5262571786254195</x:v>
      </x:c>
      <x:c r="G20" s="69" t="n">
        <x:v>0.9380667567046114</x:v>
      </x:c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81" t="n">
        <x:v>0.1</x:v>
      </x:c>
      <x:c r="B21" s="81" t="n">
        <x:v>0.5</x:v>
      </x:c>
      <x:c r="C21" s="81" t="n">
        <x:v>0.4</x:v>
      </x:c>
      <x:c r="D21" s="69" t="n">
        <x:v>5.246551059875358</x:v>
      </x:c>
      <x:c r="E21" s="69" t="n">
        <x:v>0.8464491657205149</x:v>
      </x:c>
      <x:c r="F21" s="69" t="n">
        <x:v>0.4790294666790267</x:v>
      </x:c>
      <x:c r="G21" s="69" t="n">
        <x:v>0.9832143546208761</x:v>
      </x:c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81" t="n">
        <x:v>0.1</x:v>
      </x:c>
      <x:c r="B22" s="81" t="n">
        <x:v>0.6</x:v>
      </x:c>
      <x:c r="C22" s="81" t="n">
        <x:v>0.3</x:v>
      </x:c>
      <x:c r="D22" s="69" t="n">
        <x:v>5.691512918564904</x:v>
      </x:c>
      <x:c r="E22" s="69" t="n">
        <x:v>0.8295415369112462</x:v>
      </x:c>
      <x:c r="F22" s="69" t="n">
        <x:v>0.4318017547326427</x:v>
      </x:c>
      <x:c r="G22" s="69" t="n">
        <x:v>0.9929255900701011</x:v>
      </x:c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81" t="n">
        <x:v>0.1</x:v>
      </x:c>
      <x:c r="B23" s="81" t="n">
        <x:v>0.7</x:v>
      </x:c>
      <x:c r="C23" s="81" t="n">
        <x:v>0.2</x:v>
      </x:c>
      <x:c r="D23" s="69" t="n">
        <x:v>6.136474777254449</x:v>
      </x:c>
      <x:c r="E23" s="69" t="n">
        <x:v>0.8022133603673616</x:v>
      </x:c>
      <x:c r="F23" s="69" t="n">
        <x:v>0.3845740427862472</x:v>
      </x:c>
      <x:c r="G23" s="69" t="n">
        <x:v>0.973503119171651</x:v>
      </x:c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81" t="n">
        <x:v>0.1</x:v>
      </x:c>
      <x:c r="B24" s="81" t="n">
        <x:v>0.8</x:v>
      </x:c>
      <x:c r="C24" s="81" t="n">
        <x:v>0.1</x:v>
      </x:c>
      <x:c r="D24" s="69" t="n">
        <x:v>6.5814366359440015</x:v>
      </x:c>
      <x:c r="E24" s="69" t="n">
        <x:v>0.7716798864248249</x:v>
      </x:c>
      <x:c r="F24" s="69" t="n">
        <x:v>0.3373463308398712</x:v>
      </x:c>
      <x:c r="G24" s="69" t="n">
        <x:v>0.9324715415782368</x:v>
      </x:c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81" t="n">
        <x:v>0.1</x:v>
      </x:c>
      <x:c r="B25" s="81" t="n">
        <x:v>0.9</x:v>
      </x:c>
      <x:c r="C25" s="81" t="n">
        <x:v>0</x:v>
      </x:c>
      <x:c r="D25" s="69" t="n">
        <x:v>7.026398494633533</x:v>
      </x:c>
      <x:c r="E25" s="69" t="n">
        <x:v>0.7416810556262731</x:v>
      </x:c>
      <x:c r="F25" s="69" t="n">
        <x:v>0.29011861889348367</x:v>
      </x:c>
      <x:c r="G25" s="69" t="n">
        <x:v>0.8906360537655157</x:v>
      </x:c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81" t="n">
        <x:v>0.2</x:v>
      </x:c>
      <x:c r="B26" s="81" t="n">
        <x:v>0</x:v>
      </x:c>
      <x:c r="C26" s="81" t="n">
        <x:v>0.8</x:v>
      </x:c>
      <x:c r="D26" s="69" t="n">
        <x:v>3.4088914723971726</x:v>
      </x:c>
      <x:c r="E26" s="69" t="n">
        <x:v>0.6089139468244981</x:v>
      </x:c>
      <x:c r="F26" s="69" t="n">
        <x:v>0.4583113327260091</x:v>
      </x:c>
      <x:c r="G26" s="69" t="n">
        <x:v>0.5968551032220722</x:v>
      </x:c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81" t="n">
        <x:v>0.2</x:v>
      </x:c>
      <x:c r="B27" s="81" t="n">
        <x:v>0.1</x:v>
      </x:c>
      <x:c r="C27" s="81" t="n">
        <x:v>0.7</x:v>
      </x:c>
      <x:c r="D27" s="69" t="n">
        <x:v>3.8538533310867322</x:v>
      </x:c>
      <x:c r="E27" s="69" t="n">
        <x:v>0.717739965503322</x:v>
      </x:c>
      <x:c r="F27" s="69" t="n">
        <x:v>0.4110836207796158</x:v>
      </x:c>
      <x:c r="G27" s="69" t="n">
        <x:v>0.730336356035758</x:v>
      </x:c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81" t="n">
        <x:v>0.2</x:v>
      </x:c>
      <x:c r="B28" s="81" t="n">
        <x:v>0.2</x:v>
      </x:c>
      <x:c r="C28" s="81" t="n">
        <x:v>0.6</x:v>
      </x:c>
      <x:c r="D28" s="69" t="n">
        <x:v>4.2988151897762705</x:v>
      </x:c>
      <x:c r="E28" s="69" t="n">
        <x:v>0.7968205673682062</x:v>
      </x:c>
      <x:c r="F28" s="69" t="n">
        <x:v>0.36385590883322916</x:v>
      </x:c>
      <x:c r="G28" s="69" t="n">
        <x:v>0.8691234162968681</x:v>
      </x:c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81" t="n">
        <x:v>0.2</x:v>
      </x:c>
      <x:c r="B29" s="81" t="n">
        <x:v>0.3</x:v>
      </x:c>
      <x:c r="C29" s="81" t="n">
        <x:v>0.5</x:v>
      </x:c>
      <x:c r="D29" s="69" t="n">
        <x:v>4.743777048465823</x:v>
      </x:c>
      <x:c r="E29" s="69" t="n">
        <x:v>0.8364274929258364</x:v>
      </x:c>
      <x:c r="F29" s="69" t="n">
        <x:v>0.3166281968868496</x:v>
      </x:c>
      <x:c r="G29" s="69" t="n">
        <x:v>0.9465560486204901</x:v>
      </x:c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81" t="n">
        <x:v>0.2</x:v>
      </x:c>
      <x:c r="B30" s="81" t="n">
        <x:v>0.4</x:v>
      </x:c>
      <x:c r="C30" s="81" t="n">
        <x:v>0.4</x:v>
      </x:c>
      <x:c r="D30" s="69" t="n">
        <x:v>5.1887389071553685</x:v>
      </x:c>
      <x:c r="E30" s="69" t="n">
        <x:v>0.8416045728031477</x:v>
      </x:c>
      <x:c r="F30" s="69" t="n">
        <x:v>0.26940048494045765</x:v>
      </x:c>
      <x:c r="G30" s="69" t="n">
        <x:v>0.9903852337770919</x:v>
      </x:c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81" t="n">
        <x:v>0.2</x:v>
      </x:c>
      <x:c r="B31" s="81" t="n">
        <x:v>0.5</x:v>
      </x:c>
      <x:c r="C31" s="81" t="n">
        <x:v>0.3</x:v>
      </x:c>
      <x:c r="D31" s="69" t="n">
        <x:v>5.633700765844921</x:v>
      </x:c>
      <x:c r="E31" s="69" t="n">
        <x:v>0.8249140146926472</x:v>
      </x:c>
      <x:c r="F31" s="69" t="n">
        <x:v>0.22217277299406035</x:v>
      </x:c>
      <x:c r="G31" s="69" t="n">
        <x:v>0.9960126053122389</x:v>
      </x:c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81" t="n">
        <x:v>0.2</x:v>
      </x:c>
      <x:c r="B32" s="81" t="n">
        <x:v>0.6</x:v>
      </x:c>
      <x:c r="C32" s="81" t="n">
        <x:v>0.2</x:v>
      </x:c>
      <x:c r="D32" s="69" t="n">
        <x:v>6.0786626245344735</x:v>
      </x:c>
      <x:c r="E32" s="69" t="n">
        <x:v>0.7977765937565627</x:v>
      </x:c>
      <x:c r="F32" s="69" t="n">
        <x:v>0.17494506104767904</x:v>
      </x:c>
      <x:c r="G32" s="69" t="n">
        <x:v>0.977812077947135</x:v>
      </x:c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81" t="n">
        <x:v>0.2</x:v>
      </x:c>
      <x:c r="B33" s="81" t="n">
        <x:v>0.7</x:v>
      </x:c>
      <x:c r="C33" s="81" t="n">
        <x:v>0.1</x:v>
      </x:c>
      <x:c r="D33" s="69" t="n">
        <x:v>6.523624483224005</x:v>
      </x:c>
      <x:c r="E33" s="69" t="n">
        <x:v>0.7674446047653792</x:v>
      </x:c>
      <x:c r="F33" s="69" t="n">
        <x:v>0.1277173491012924</x:v>
      </x:c>
      <x:c r="G33" s="69" t="n">
        <x:v>0.93790597466075</x:v>
      </x:c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81" t="n">
        <x:v>0.2</x:v>
      </x:c>
      <x:c r="B34" s="81" t="n">
        <x:v>0.8</x:v>
      </x:c>
      <x:c r="C34" s="81" t="n">
        <x:v>0</x:v>
      </x:c>
      <x:c r="D34" s="69" t="n">
        <x:v>6.968586341913557</x:v>
      </x:c>
      <x:c r="E34" s="69" t="n">
        <x:v>0.737659689708722</x:v>
      </x:c>
      <x:c r="F34" s="69" t="n">
        <x:v>0.08048963715490753</x:v>
      </x:c>
      <x:c r="G34" s="69" t="n">
        <x:v>0.8988680944112164</x:v>
      </x:c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81" t="n">
        <x:v>0.3</x:v>
      </x:c>
      <x:c r="B35" s="81" t="n">
        <x:v>0</x:v>
      </x:c>
      <x:c r="C35" s="81" t="n">
        <x:v>0.7</x:v>
      </x:c>
      <x:c r="D35" s="69" t="n">
        <x:v>3.7960411783667425</x:v>
      </x:c>
      <x:c r="E35" s="69" t="n">
        <x:v>0.7085914806345807</x:v>
      </x:c>
      <x:c r="F35" s="69" t="n">
        <x:v>0.20145463904104988</x:v>
      </x:c>
      <x:c r="G35" s="69" t="n">
        <x:v>0.7415910991060519</x:v>
      </x:c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81" t="n">
        <x:v>0.3</x:v>
      </x:c>
      <x:c r="B36" s="81" t="n">
        <x:v>0.1</x:v>
      </x:c>
      <x:c r="C36" s="81" t="n">
        <x:v>0.6</x:v>
      </x:c>
      <x:c r="D36" s="69" t="n">
        <x:v>4.241003037056288</x:v>
      </x:c>
      <x:c r="E36" s="69" t="n">
        <x:v>0.7882188450498963</x:v>
      </x:c>
      <x:c r="F36" s="69" t="n">
        <x:v>0.15422692709465569</x:v>
      </x:c>
      <x:c r="G36" s="69" t="n">
        <x:v>0.8761013570004502</x:v>
      </x:c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81" t="n">
        <x:v>0.3</x:v>
      </x:c>
      <x:c r="B37" s="81" t="n">
        <x:v>0.2</x:v>
      </x:c>
      <x:c r="C37" s="81" t="n">
        <x:v>0.5</x:v>
      </x:c>
      <x:c r="D37" s="69" t="n">
        <x:v>4.685964895745826</x:v>
      </x:c>
      <x:c r="E37" s="69" t="n">
        <x:v>0.8285595949241329</x:v>
      </x:c>
      <x:c r="F37" s="69" t="n">
        <x:v>0.10699921514826372</x:v>
      </x:c>
      <x:c r="G37" s="69" t="n">
        <x:v>0.9520547945205481</x:v>
      </x:c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81" t="n">
        <x:v>0.3</x:v>
      </x:c>
      <x:c r="B38" s="81" t="n">
        <x:v>0.3</x:v>
      </x:c>
      <x:c r="C38" s="81" t="n">
        <x:v>0.4</x:v>
      </x:c>
      <x:c r="D38" s="69" t="n">
        <x:v>5.130926754435386</x:v>
      </x:c>
      <x:c r="E38" s="69" t="n">
        <x:v>0.8344774507860179</x:v>
      </x:c>
      <x:c r="F38" s="69" t="n">
        <x:v>0.059771503201886844</x:v>
      </x:c>
      <x:c r="G38" s="69" t="n">
        <x:v>0.9915428644928937</x:v>
      </x:c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81" t="n">
        <x:v>0.3</x:v>
      </x:c>
      <x:c r="B39" s="81" t="n">
        <x:v>0.4</x:v>
      </x:c>
      <x:c r="C39" s="81" t="n">
        <x:v>0.3</x:v>
      </x:c>
      <x:c r="D39" s="69" t="n">
        <x:v>5.575888613124938</x:v>
      </x:c>
      <x:c r="E39" s="69" t="n">
        <x:v>0.8184612465339158</x:v>
      </x:c>
      <x:c r="F39" s="69" t="n">
        <x:v>0.012543791255491321</x:v>
      </x:c>
      <x:c r="G39" s="69" t="n">
        <x:v>0.9979098334298027</x:v>
      </x:c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81" t="n">
        <x:v>0.3</x:v>
      </x:c>
      <x:c r="B40" s="81" t="n">
        <x:v>0.5</x:v>
      </x:c>
      <x:c r="C40" s="81" t="n">
        <x:v>0.2</x:v>
      </x:c>
      <x:c r="D40" s="69" t="n">
        <x:v>6.020850471814484</x:v>
      </x:c>
      <x:c r="E40" s="69" t="n">
        <x:v>0.7919197123117167</x:v>
      </x:c>
      <x:c r="F40" s="69" t="n">
        <x:v>-0.03468392069089887</x:v>
      </x:c>
      <x:c r="G40" s="69" t="n">
        <x:v>0.9781979548524022</x:v>
      </x:c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81" t="n">
        <x:v>0.3</x:v>
      </x:c>
      <x:c r="B41" s="81" t="n">
        <x:v>0.6</x:v>
      </x:c>
      <x:c r="C41" s="81" t="n">
        <x:v>0.1</x:v>
      </x:c>
      <x:c r="D41" s="69" t="n">
        <x:v>6.465812330504008</x:v>
      </x:c>
      <x:c r="E41" s="69" t="n">
        <x:v>0.7621101339018522</x:v>
      </x:c>
      <x:c r="F41" s="69" t="n">
        <x:v>-0.08191163263728196</x:v>
      </x:c>
      <x:c r="G41" s="69" t="n">
        <x:v>0.9435655026046693</x:v>
      </x:c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81" t="n">
        <x:v>0.3</x:v>
      </x:c>
      <x:c r="B42" s="81" t="n">
        <x:v>0.7</x:v>
      </x:c>
      <x:c r="C42" s="81" t="n">
        <x:v>0</x:v>
      </x:c>
      <x:c r="D42" s="69" t="n">
        <x:v>6.9107741891935675</x:v>
      </x:c>
      <x:c r="E42" s="69" t="n">
        <x:v>0.7327817958276052</x:v>
      </x:c>
      <x:c r="F42" s="69" t="n">
        <x:v>-0.12913934458366416</x:v>
      </x:c>
      <x:c r="G42" s="69" t="n">
        <x:v>0.9029519583252944</x:v>
      </x:c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81" t="n">
        <x:v>0.4</x:v>
      </x:c>
      <x:c r="B43" s="81" t="n">
        <x:v>0</x:v>
      </x:c>
      <x:c r="C43" s="81" t="n">
        <x:v>0.6</x:v>
      </x:c>
      <x:c r="D43" s="69" t="n">
        <x:v>4.183190884336298</x:v>
      </x:c>
      <x:c r="E43" s="69" t="n">
        <x:v>0.776836529023082</x:v>
      </x:c>
      <x:c r="F43" s="69" t="n">
        <x:v>-0.05540205464391601</x:v>
      </x:c>
      <x:c r="G43" s="69" t="n">
        <x:v>0.880989131133835</x:v>
      </x:c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81" t="n">
        <x:v>0.4</x:v>
      </x:c>
      <x:c r="B44" s="81" t="n">
        <x:v>0.1</x:v>
      </x:c>
      <x:c r="C44" s="81" t="n">
        <x:v>0.5</x:v>
      </x:c>
      <x:c r="D44" s="69" t="n">
        <x:v>4.628152743025851</x:v>
      </x:c>
      <x:c r="E44" s="69" t="n">
        <x:v>0.8180413541976522</x:v>
      </x:c>
      <x:c r="F44" s="69" t="n">
        <x:v>-0.10262976659031331</x:v>
      </x:c>
      <x:c r="G44" s="69" t="n">
        <x:v>0.9555598430767254</x:v>
      </x:c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81" t="n">
        <x:v>0.4</x:v>
      </x:c>
      <x:c r="B45" s="81" t="n">
        <x:v>0.2</x:v>
      </x:c>
      <x:c r="C45" s="81" t="n">
        <x:v>0.4</x:v>
      </x:c>
      <x:c r="D45" s="69" t="n">
        <x:v>5.073114601715403</x:v>
      </x:c>
      <x:c r="E45" s="69" t="n">
        <x:v>0.8250884447724188</x:v>
      </x:c>
      <x:c r="F45" s="69" t="n">
        <x:v>-0.1498574785367044</x:v>
      </x:c>
      <x:c r="G45" s="69" t="n">
        <x:v>0.9926040259823785</x:v>
      </x:c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81" t="n">
        <x:v>0.4</x:v>
      </x:c>
      <x:c r="B46" s="81" t="n">
        <x:v>0.3</x:v>
      </x:c>
      <x:c r="C46" s="81" t="n">
        <x:v>0.3</x:v>
      </x:c>
      <x:c r="D46" s="69" t="n">
        <x:v>5.518076460404934</x:v>
      </x:c>
      <x:c r="E46" s="69" t="n">
        <x:v>0.8101987815799625</x:v>
      </x:c>
      <x:c r="F46" s="69" t="n">
        <x:v>-0.1970851904830928</x:v>
      </x:c>
      <x:c r="G46" s="69" t="n">
        <x:v>0.9973953308894464</x:v>
      </x:c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81" t="n">
        <x:v>0.4</x:v>
      </x:c>
      <x:c r="B47" s="81" t="n">
        <x:v>0.4</x:v>
      </x:c>
      <x:c r="C47" s="81" t="n">
        <x:v>0.2</x:v>
      </x:c>
      <x:c r="D47" s="69" t="n">
        <x:v>5.963038319094473</x:v>
      </x:c>
      <x:c r="E47" s="69" t="n">
        <x:v>0.7846550651416684</x:v>
      </x:c>
      <x:c r="F47" s="69" t="n">
        <x:v>-0.24431290242947856</x:v>
      </x:c>
      <x:c r="G47" s="69" t="n">
        <x:v>0.9792912727506594</x:v>
      </x:c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81" t="n">
        <x:v>0.4</x:v>
      </x:c>
      <x:c r="B48" s="81" t="n">
        <x:v>0.5</x:v>
      </x:c>
      <x:c r="C48" s="81" t="n">
        <x:v>0.1</x:v>
      </x:c>
      <x:c r="D48" s="69" t="n">
        <x:v>6.408000177784018</x:v>
      </x:c>
      <x:c r="E48" s="69" t="n">
        <x:v>0.7556864407898416</x:v>
      </x:c>
      <x:c r="F48" s="69" t="n">
        <x:v>-0.2915406143758581</x:v>
      </x:c>
      <x:c r="G48" s="69" t="n">
        <x:v>0.9443694128239759</x:v>
      </x:c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81" t="n">
        <x:v>0.4</x:v>
      </x:c>
      <x:c r="B49" s="81" t="n">
        <x:v>0.6</x:v>
      </x:c>
      <x:c r="C49" s="81" t="n">
        <x:v>0</x:v>
      </x:c>
      <x:c r="D49" s="69" t="n">
        <x:v>6.852962036473578</x:v>
      </x:c>
      <x:c r="E49" s="69" t="n">
        <x:v>0.7270554367202449</x:v>
      </x:c>
      <x:c r="F49" s="69" t="n">
        <x:v>-0.33876832632223763</x:v>
      </x:c>
      <x:c r="G49" s="69" t="n">
        <x:v>0.9026303942375715</x:v>
      </x:c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81" t="n">
        <x:v>0.5</x:v>
      </x:c>
      <x:c r="B50" s="81" t="n">
        <x:v>0</x:v>
      </x:c>
      <x:c r="C50" s="81" t="n">
        <x:v>0.5</x:v>
      </x:c>
      <x:c r="D50" s="69" t="n">
        <x:v>4.57034059030584</x:v>
      </x:c>
      <x:c r="E50" s="69" t="n">
        <x:v>0.8049782391536673</x:v>
      </x:c>
      <x:c r="F50" s="69" t="n">
        <x:v>-0.3122587483288912</x:v>
      </x:c>
      <x:c r="G50" s="69" t="n">
        <x:v>0.9570390378802496</x:v>
      </x:c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81" t="n">
        <x:v>0.5</x:v>
      </x:c>
      <x:c r="B51" s="81" t="n">
        <x:v>0.1</x:v>
      </x:c>
      <x:c r="C51" s="81" t="n">
        <x:v>0.4</x:v>
      </x:c>
      <x:c r="D51" s="69" t="n">
        <x:v>5.015302448995399</x:v>
      </x:c>
      <x:c r="E51" s="69" t="n">
        <x:v>0.8135128311542037</x:v>
      </x:c>
      <x:c r="F51" s="69" t="n">
        <x:v>-0.3594864602752734</x:v>
      </x:c>
      <x:c r="G51" s="69" t="n">
        <x:v>0.9914142388578044</x:v>
      </x:c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81" t="n">
        <x:v>0.5</x:v>
      </x:c>
      <x:c r="B52" s="81" t="n">
        <x:v>0.2</x:v>
      </x:c>
      <x:c r="C52" s="81" t="n">
        <x:v>0.3</x:v>
      </x:c>
      <x:c r="D52" s="69" t="n">
        <x:v>5.460264307684952</x:v>
      </x:c>
      <x:c r="E52" s="69" t="n">
        <x:v>0.8001778472920267</x:v>
      </x:c>
      <x:c r="F52" s="69" t="n">
        <x:v>-0.4067141722216654</x:v>
      </x:c>
      <x:c r="G52" s="69" t="n">
        <x:v>0.9960447617210111</x:v>
      </x:c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81" t="n">
        <x:v>0.5</x:v>
      </x:c>
      <x:c r="B53" s="81" t="n">
        <x:v>0.3</x:v>
      </x:c>
      <x:c r="C53" s="81" t="n">
        <x:v>0.2</x:v>
      </x:c>
      <x:c r="D53" s="69" t="n">
        <x:v>5.905226166374483</x:v>
      </x:c>
      <x:c r="E53" s="69" t="n">
        <x:v>0.7760173295615407</x:v>
      </x:c>
      <x:c r="F53" s="69" t="n">
        <x:v>-0.4539418841680529</x:v>
      </x:c>
      <x:c r="G53" s="69" t="n">
        <x:v>0.9790983342980258</x:v>
      </x:c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81" t="n">
        <x:v>0.5</x:v>
      </x:c>
      <x:c r="B54" s="81" t="n">
        <x:v>0.4</x:v>
      </x:c>
      <x:c r="C54" s="81" t="n">
        <x:v>0.1</x:v>
      </x:c>
      <x:c r="D54" s="69" t="n">
        <x:v>6.350188025064028</x:v>
      </x:c>
      <x:c r="E54" s="69" t="n">
        <x:v>0.7481973901002479</x:v>
      </x:c>
      <x:c r="F54" s="69" t="n">
        <x:v>-0.501169596114436</x:v>
      </x:c>
      <x:c r="G54" s="69" t="n">
        <x:v>0.9489356228696382</x:v>
      </x:c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81" t="n">
        <x:v>0.5</x:v>
      </x:c>
      <x:c r="B55" s="81" t="n">
        <x:v>0.5</x:v>
      </x:c>
      <x:c r="C55" s="81" t="n">
        <x:v>0</x:v>
      </x:c>
      <x:c r="D55" s="69" t="n">
        <x:v>6.795149883753581</x:v>
      </x:c>
      <x:c r="E55" s="69" t="n">
        <x:v>0.7204974498936871</x:v>
      </x:c>
      <x:c r="F55" s="69" t="n">
        <x:v>-0.548397308060828</x:v>
      </x:c>
      <x:c r="G55" s="69" t="n">
        <x:v>0.9048813428516305</x:v>
      </x:c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81" t="n">
        <x:v>0.6</x:v>
      </x:c>
      <x:c r="B56" s="81" t="n">
        <x:v>0</x:v>
      </x:c>
      <x:c r="C56" s="81" t="n">
        <x:v>0.4</x:v>
      </x:c>
      <x:c r="D56" s="69" t="n">
        <x:v>4.9574902962754095</x:v>
      </x:c>
      <x:c r="E56" s="69" t="n">
        <x:v>0.799877529261441</x:v>
      </x:c>
      <x:c r="F56" s="69" t="n">
        <x:v>-0.5691154420138487</x:v>
      </x:c>
      <x:c r="G56" s="69" t="n">
        <x:v>0.9881664415718053</x:v>
      </x:c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81" t="n">
        <x:v>0.6</x:v>
      </x:c>
      <x:c r="B57" s="81" t="n">
        <x:v>0.1</x:v>
      </x:c>
      <x:c r="C57" s="81" t="n">
        <x:v>0.3</x:v>
      </x:c>
      <x:c r="D57" s="69" t="n">
        <x:v>5.402452154964955</x:v>
      </x:c>
      <x:c r="E57" s="69" t="n">
        <x:v>0.7884837786707645</x:v>
      </x:c>
      <x:c r="F57" s="69" t="n">
        <x:v>-0.6163431539602318</x:v>
      </x:c>
      <x:c r="G57" s="69" t="n">
        <x:v>0.9921538362595668</x:v>
      </x:c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81" t="n">
        <x:v>0.6</x:v>
      </x:c>
      <x:c r="B58" s="81" t="n">
        <x:v>0.2</x:v>
      </x:c>
      <x:c r="C58" s="81" t="n">
        <x:v>0.2</x:v>
      </x:c>
      <x:c r="D58" s="69" t="n">
        <x:v>5.847414013654493</x:v>
      </x:c>
      <x:c r="E58" s="69" t="n">
        <x:v>0.7660626973475592</x:v>
      </x:c>
      <x:c r="F58" s="69" t="n">
        <x:v>-0.6635708659066237</x:v>
      </x:c>
      <x:c r="G58" s="69" t="n">
        <x:v>0.9781014856260853</x:v>
      </x:c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81" t="n">
        <x:v>0.6</x:v>
      </x:c>
      <x:c r="B59" s="81" t="n">
        <x:v>0.3</x:v>
      </x:c>
      <x:c r="C59" s="81" t="n">
        <x:v>0.1</x:v>
      </x:c>
      <x:c r="D59" s="69" t="n">
        <x:v>6.292375872344053</x:v>
      </x:c>
      <x:c r="E59" s="69" t="n">
        <x:v>0.7396803117875667</x:v>
      </x:c>
      <x:c r="F59" s="69" t="n">
        <x:v>-0.7107985778530121</x:v>
      </x:c>
      <x:c r="G59" s="69" t="n">
        <x:v>0.9471670203871633</x:v>
      </x:c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81" t="n">
        <x:v>0.6</x:v>
      </x:c>
      <x:c r="B60" s="81" t="n">
        <x:v>0.4</x:v>
      </x:c>
      <x:c r="C60" s="81" t="n">
        <x:v>0</x:v>
      </x:c>
      <x:c r="D60" s="69" t="n">
        <x:v>6.737337731033591</x:v>
      </x:c>
      <x:c r="E60" s="69" t="n">
        <x:v>0.7131332079820413</x:v>
      </x:c>
      <x:c r="F60" s="69" t="n">
        <x:v>-0.7580262897994086</x:v>
      </x:c>
      <x:c r="G60" s="69" t="n">
        <x:v>0.9073252299183229</x:v>
      </x:c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81" t="n">
        <x:v>0.7</x:v>
      </x:c>
      <x:c r="B61" s="81" t="n">
        <x:v>0</x:v>
      </x:c>
      <x:c r="C61" s="81" t="n">
        <x:v>0.3</x:v>
      </x:c>
      <x:c r="D61" s="69" t="n">
        <x:v>5.344640002244958</x:v>
      </x:c>
      <x:c r="E61" s="69" t="n">
        <x:v>0.7752326304794332</x:v>
      </x:c>
      <x:c r="F61" s="69" t="n">
        <x:v>-0.8259721356988186</x:v>
      </x:c>
      <x:c r="G61" s="69" t="n">
        <x:v>0.9877805646665382</x:v>
      </x:c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81" t="n">
        <x:v>0.7</x:v>
      </x:c>
      <x:c r="B62" s="81" t="n">
        <x:v>0.1</x:v>
      </x:c>
      <x:c r="C62" s="81" t="n">
        <x:v>0.2</x:v>
      </x:c>
      <x:c r="D62" s="69" t="n">
        <x:v>5.789601860934511</x:v>
      </x:c>
      <x:c r="E62" s="69" t="n">
        <x:v>0.7548671325832528</x:v>
      </x:c>
      <x:c r="F62" s="69" t="n">
        <x:v>-0.8731998476452096</x:v>
      </x:c>
      <x:c r="G62" s="69" t="n">
        <x:v>0.9756897549681652</x:v>
      </x:c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81" t="n">
        <x:v>0.7</x:v>
      </x:c>
      <x:c r="B63" s="81" t="n">
        <x:v>0.2</x:v>
      </x:c>
      <x:c r="C63" s="81" t="n">
        <x:v>0.1</x:v>
      </x:c>
      <x:c r="D63" s="69" t="n">
        <x:v>6.234563719624049</x:v>
      </x:c>
      <x:c r="E63" s="69" t="n">
        <x:v>0.7301850990339273</x:v>
      </x:c>
      <x:c r="F63" s="69" t="n">
        <x:v>-0.9204275595915856</x:v>
      </x:c>
      <x:c r="G63" s="69" t="n">
        <x:v>0.9426008103415012</x:v>
      </x:c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81" t="n">
        <x:v>0.7</x:v>
      </x:c>
      <x:c r="B64" s="81" t="n">
        <x:v>0.3</x:v>
      </x:c>
      <x:c r="C64" s="81" t="n">
        <x:v>0</x:v>
      </x:c>
      <x:c r="D64" s="69" t="n">
        <x:v>6.6795255783136085</x:v>
      </x:c>
      <x:c r="E64" s="69" t="n">
        <x:v>0.7049961370657882</x:v>
      </x:c>
      <x:c r="F64" s="69" t="n">
        <x:v>-0.9676552715379776</x:v>
      </x:c>
      <x:c r="G64" s="69" t="n">
        <x:v>0.9086436426779859</x:v>
      </x:c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81" t="n">
        <x:v>0.8</x:v>
      </x:c>
      <x:c r="B65" s="81" t="n">
        <x:v>0</x:v>
      </x:c>
      <x:c r="C65" s="81" t="n">
        <x:v>0.2</x:v>
      </x:c>
      <x:c r="D65" s="69" t="n">
        <x:v>5.731789708214528</x:v>
      </x:c>
      <x:c r="E65" s="69" t="n">
        <x:v>0.7425238222603444</x:v>
      </x:c>
      <x:c r="F65" s="69" t="n">
        <x:v>-1.0828288293837813</x:v>
      </x:c>
      <x:c r="G65" s="69" t="n">
        <x:v>0.9705447295646025</x:v>
      </x:c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81" t="n">
        <x:v>0.8</x:v>
      </x:c>
      <x:c r="B66" s="81" t="n">
        <x:v>0.1</x:v>
      </x:c>
      <x:c r="C66" s="81" t="n">
        <x:v>0.1</x:v>
      </x:c>
      <x:c r="D66" s="69" t="n">
        <x:v>6.176751566904052</x:v>
      </x:c>
      <x:c r="E66" s="69" t="n">
        <x:v>0.7197728860468993</x:v>
      </x:c>
      <x:c r="F66" s="69" t="n">
        <x:v>-1.1300565413301724</x:v>
      </x:c>
      <x:c r="G66" s="69" t="n">
        <x:v>0.9400926104572643</x:v>
      </x:c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81" t="n">
        <x:v>0.8</x:v>
      </x:c>
      <x:c r="B67" s="81" t="n">
        <x:v>0.2</x:v>
      </x:c>
      <x:c r="C67" s="81" t="n">
        <x:v>0</x:v>
      </x:c>
      <x:c r="D67" s="69" t="n">
        <x:v>6.621713425593619</x:v>
      </x:c>
      <x:c r="E67" s="69" t="n">
        <x:v>0.6961270139014435</x:v>
      </x:c>
      <x:c r="F67" s="69" t="n">
        <x:v>-1.1772842532765555</x:v>
      </x:c>
      <x:c r="G67" s="69" t="n">
        <x:v>0.9082256093639464</x:v>
      </x:c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81" t="n">
        <x:v>0.9</x:v>
      </x:c>
      <x:c r="B68" s="81" t="n">
        <x:v>0</x:v>
      </x:c>
      <x:c r="C68" s="81" t="n">
        <x:v>0.1</x:v>
      </x:c>
      <x:c r="D68" s="69" t="n">
        <x:v>6.1189394141840765</x:v>
      </x:c>
      <x:c r="E68" s="69" t="n">
        <x:v>0.7085143822339112</x:v>
      </x:c>
      <x:c r="F68" s="69" t="n">
        <x:v>-1.3396855230687423</x:v>
      </x:c>
      <x:c r="G68" s="69" t="n">
        <x:v>0.9353656183677409</x:v>
      </x:c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81" t="n">
        <x:v>0.9</x:v>
      </x:c>
      <x:c r="B69" s="81" t="n">
        <x:v>0.1</x:v>
      </x:c>
      <x:c r="C69" s="81" t="n">
        <x:v>0</x:v>
      </x:c>
      <x:c r="D69" s="69" t="n">
        <x:v>6.563901272873629</x:v>
      </x:c>
      <x:c r="E69" s="69" t="n">
        <x:v>0.686573074752148</x:v>
      </x:c>
      <x:c r="F69" s="69" t="n">
        <x:v>-1.3869132350151325</x:v>
      </x:c>
      <x:c r="G69" s="69" t="n">
        <x:v>0.902791176281433</x:v>
      </x:c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81" t="n">
        <x:v>1</x:v>
      </x:c>
      <x:c r="B70" s="81" t="n">
        <x:v>0</x:v>
      </x:c>
      <x:c r="C70" s="81" t="n">
        <x:v>0</x:v>
      </x:c>
      <x:c r="D70" s="69" t="n">
        <x:v>6.506089120153625</x:v>
      </x:c>
      <x:c r="E70" s="69" t="n">
        <x:v>0.6763869776271493</x:v>
      </x:c>
      <x:c r="F70" s="69" t="n">
        <x:v>-1.5965422167537104</x:v>
      </x:c>
      <x:c r="G70" s="69" t="n">
        <x:v>0.9015370763393145</x:v>
      </x:c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  <x:col min="3" max="3" width="18" hidden="0" customWidth="1"/>
    <x:col min="4" max="4" width="1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5" customHeight="1">
      <x:c r="A2" s="61" t="str">
        <x:v>FDI method and assumptions</x:v>
      </x:c>
      <x:c r="B2" s="61"/>
      <x:c r="C2" s="61"/>
      <x:c r="D2" s="61"/>
      <x:c r="E2" s="61"/>
      <x:c r="F2" s="61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82" t="str">
        <x:v>Primary formula</x:v>
      </x:c>
      <x:c r="B4" s="83"/>
      <x:c r="C4" s="83"/>
      <x:c r="D4" s="83"/>
      <x:c r="E4" s="83"/>
      <x:c r="F4" s="84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85" t="str">
        <x:v>Production component</x:v>
      </x:c>
      <x:c r="B5" s="86" t="str">
        <x:v>z-score of ln(1 + production score)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85" t="str">
        <x:v>Automation component</x:v>
      </x:c>
      <x:c r="B6" s="86" t="str">
        <x:v>z-score of ln(1 + automated production score)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85" t="str">
        <x:v>Advancement component</x:v>
      </x:c>
      <x:c r="B7" s="86" t="str">
        <x:v>mean of technology-count and achievement-count z-scores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85" t="str">
        <x:v>Primary FDI</x:v>
      </x:c>
      <x:c r="B8" s="86" t="str">
        <x:v>50 + 10 × [⅓ Production z + ⅓ Automation z + ⅓ Advancement z]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85" t="str">
        <x:v>Achievement count</x:v>
      </x:c>
      <x:c r="B9" s="86" t="str">
        <x:v>count of distinct produced item types; exactly reproduced the recorded achievement score in all 36 fixed-arm runs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82" t="str">
        <x:v>Pooled normalization constants</x:v>
      </x:c>
      <x:c r="B11" s="83"/>
      <x:c r="C11" s="83"/>
      <x:c r="D11" s="83"/>
      <x:c r="E11" s="83"/>
      <x:c r="F11" s="84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34" t="str">
        <x:v>Component</x:v>
      </x:c>
      <x:c r="B12" s="35" t="str">
        <x:v>Run Scores column</x:v>
      </x:c>
      <x:c r="C12" s="35" t="str">
        <x:v>Mean</x:v>
      </x:c>
      <x:c r="D12" s="36" t="str">
        <x:v>SD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Production log</x:v>
      </x:c>
      <x:c r="B13" s="27" t="str">
        <x:v>J</x:v>
      </x:c>
      <x:c r="C13" s="87" t="n">
        <x:f>AVERAGE('Run Scores'!J2:J73)</x:f>
        <x:v>8.172480816507399</x:v>
      </x:c>
      <x:c r="D13" s="87" t="n">
        <x:f>_xlfn.STDEV.S('Run Scores'!J2:J73)</x:f>
        <x:v>0.507036604197339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Automation log</x:v>
      </x:c>
      <x:c r="B14" s="27" t="str">
        <x:v>K</x:v>
      </x:c>
      <x:c r="C14" s="87" t="n">
        <x:f>AVERAGE('Run Scores'!K2:K73)</x:f>
        <x:v>6.8507427594488775</x:v>
      </x:c>
      <x:c r="D14" s="87" t="n">
        <x:f>_xlfn.STDEV.S('Run Scores'!K2:K73)</x:f>
        <x:v>0.6625571894953022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Technology count</x:v>
      </x:c>
      <x:c r="B15" s="27" t="str">
        <x:v>H</x:v>
      </x:c>
      <x:c r="C15" s="87" t="n">
        <x:f>AVERAGE('Run Scores'!H2:H73)</x:f>
        <x:v>2.0985915492957745</x:v>
      </x:c>
      <x:c r="D15" s="87" t="n">
        <x:f>_xlfn.STDEV.S('Run Scores'!H2:H73)</x:f>
        <x:v>0.3445464753002873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Achievement count</x:v>
      </x:c>
      <x:c r="B16" s="27" t="str">
        <x:v>I</x:v>
      </x:c>
      <x:c r="C16" s="87" t="n">
        <x:f>AVERAGE('Run Scores'!I2:I73)</x:f>
        <x:v>7.267605633802817</x:v>
      </x:c>
      <x:c r="D16" s="87" t="n">
        <x:f>_xlfn.STDEV.S('Run Scores'!I2:I73)</x:f>
        <x:v>0.9404823455299517</x:v>
      </x:c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Advancement z</x:v>
      </x:c>
      <x:c r="B17" s="27" t="str">
        <x:v>P</x:v>
      </x:c>
      <x:c r="C17" s="87" t="n">
        <x:f>AVERAGE('Run Scores'!P2:P73)</x:f>
        <x:v>1.3369587127528293e-16</x:v>
      </x:c>
      <x:c r="D17" s="87" t="n">
        <x:f>_xlfn.STDEV.S('Run Scores'!P2:P73)</x:f>
        <x:v>0.6772797918378851</x:v>
      </x:c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82" t="str">
        <x:v>Weight decision</x:v>
      </x:c>
      <x:c r="B19" s="83"/>
      <x:c r="C19" s="83"/>
      <x:c r="D19" s="83"/>
      <x:c r="E19" s="83"/>
      <x:c r="F19" s="84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88" t="str">
        <x:v>Use equal top-level weights for the primary FDI because this choice was established before the final comparison and is easy to reproduce. Do not choose weights because they maximize the adaptive-arm advantage. Production and automation are strongly correlated (r = 0.950), so report those components separately alongside FDI. The advancement component has lower dispersion (SD = 0.675), which means equal nominal weights do not imply equal variance contribution. The alternative weighting scenarios and the full 0.1-step simplex grid should therefore be reported as sensitivity analyses.</x:v>
      </x:c>
      <x:c r="B20" s="88"/>
      <x:c r="C20" s="88"/>
      <x:c r="D20" s="88"/>
      <x:c r="E20" s="88"/>
      <x:c r="F20" s="88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88"/>
      <x:c r="B21" s="88"/>
      <x:c r="C21" s="88"/>
      <x:c r="D21" s="88"/>
      <x:c r="E21" s="88"/>
      <x:c r="F21" s="88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88"/>
      <x:c r="B22" s="88"/>
      <x:c r="C22" s="88"/>
      <x:c r="D22" s="88"/>
      <x:c r="E22" s="88"/>
      <x:c r="F22" s="88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88"/>
      <x:c r="B23" s="88"/>
      <x:c r="C23" s="88"/>
      <x:c r="D23" s="88"/>
      <x:c r="E23" s="88"/>
      <x:c r="F23" s="88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88"/>
      <x:c r="B24" s="88"/>
      <x:c r="C24" s="88"/>
      <x:c r="D24" s="88"/>
      <x:c r="E24" s="88"/>
      <x:c r="F24" s="88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88"/>
      <x:c r="B25" s="88"/>
      <x:c r="C25" s="88"/>
      <x:c r="D25" s="88"/>
      <x:c r="E25" s="88"/>
      <x:c r="F25" s="88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82" t="str">
        <x:v>Source and validation</x:v>
      </x:c>
      <x:c r="B27" s="83"/>
      <x:c r="C27" s="83"/>
      <x:c r="D27" s="83"/>
      <x:c r="E27" s="83"/>
      <x:c r="F27" s="84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89" t="str">
        <x:v>Source dataset</x:v>
      </x:c>
      <x:c r="B28" s="86" t="str">
        <x:v>Final 72-run dataset from the team package</x:v>
      </x:c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89" t="str">
        <x:v>Runs</x:v>
      </x:c>
      <x:c r="B29" s="86" t="n">
        <x:v>72</x:v>
      </x:c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89" t="str">
        <x:v>Fixed achievement reconstruction</x:v>
      </x:c>
      <x:c r="B30" s="86" t="str">
        <x:v>36/36 exact matches</x:v>
      </x:c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89" t="str">
        <x:v>Important limitation</x:v>
      </x:c>
      <x:c r="B31" s="86" t="str">
        <x:v>Level 1 used identical prompts but showed a 5.45-point arm difference. Use baseline-adjusted results when discussing intervention effects.</x:v>
      </x:c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2:F2"/>
    <x:mergeCell ref="A4:F4"/>
    <x:mergeCell ref="A11:F11"/>
    <x:mergeCell ref="A19:F19"/>
    <x:mergeCell ref="A20:F25"/>
    <x:mergeCell ref="A27:F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5" customHeight="1">
      <x:c r="A2" s="61" t="str">
        <x:v>Component correlations</x:v>
      </x:c>
      <x:c r="B2" s="61"/>
      <x:c r="C2" s="61"/>
      <x:c r="D2" s="61"/>
      <x:c r="E2" s="61"/>
      <x:c r="F2" s="61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4" t="str"/>
      <x:c r="B4" s="35" t="str">
        <x:v>production_z</x:v>
      </x:c>
      <x:c r="C4" s="35" t="str">
        <x:v>automation_z</x:v>
      </x:c>
      <x:c r="D4" s="35" t="str">
        <x:v>technology_z</x:v>
      </x:c>
      <x:c r="E4" s="35" t="str">
        <x:v>achievement_z</x:v>
      </x:c>
      <x:c r="F4" s="36" t="str">
        <x:v>advancement_z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production_z</x:v>
      </x:c>
      <x:c r="B5" s="90" t="n">
        <x:v>1</x:v>
      </x:c>
      <x:c r="C5" s="90" t="n">
        <x:v>0.9504987809005252</x:v>
      </x:c>
      <x:c r="D5" s="90" t="n">
        <x:v>0.38797891559459585</x:v>
      </x:c>
      <x:c r="E5" s="90" t="n">
        <x:v>-0.38816460152332816</x:v>
      </x:c>
      <x:c r="F5" s="90" t="n">
        <x:v>-0.00013747965632694028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automation_z</x:v>
      </x:c>
      <x:c r="B6" s="90" t="n">
        <x:v>0.9504987809005252</x:v>
      </x:c>
      <x:c r="C6" s="90" t="n">
        <x:v>1</x:v>
      </x:c>
      <x:c r="D6" s="90" t="n">
        <x:v>0.3656497880865953</x:v>
      </x:c>
      <x:c r="E6" s="90" t="n">
        <x:v>-0.3034000341826538</x:v>
      </x:c>
      <x:c r="F6" s="90" t="n">
        <x:v>0.04608897847875345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technology_z</x:v>
      </x:c>
      <x:c r="B7" s="90" t="n">
        <x:v>0.38797891559459585</x:v>
      </x:c>
      <x:c r="C7" s="90" t="n">
        <x:v>0.3656497880865953</x:v>
      </x:c>
      <x:c r="D7" s="90" t="n">
        <x:v>1</x:v>
      </x:c>
      <x:c r="E7" s="90" t="n">
        <x:v>-0.08788180937429448</x:v>
      </x:c>
      <x:c r="F7" s="90" t="n">
        <x:v>0.6753214755306189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achievement_z</x:v>
      </x:c>
      <x:c r="B8" s="90" t="n">
        <x:v>-0.38816460152332816</x:v>
      </x:c>
      <x:c r="C8" s="90" t="n">
        <x:v>-0.3034000341826538</x:v>
      </x:c>
      <x:c r="D8" s="90" t="n">
        <x:v>-0.08788180937429448</x:v>
      </x:c>
      <x:c r="E8" s="90" t="n">
        <x:v>1</x:v>
      </x:c>
      <x:c r="F8" s="90" t="n">
        <x:v>0.6753214755306193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advancement_z</x:v>
      </x:c>
      <x:c r="B9" s="90" t="n">
        <x:v>-0.00013747965632694028</x:v>
      </x:c>
      <x:c r="C9" s="90" t="n">
        <x:v>0.04608897847875345</x:v>
      </x:c>
      <x:c r="D9" s="90" t="n">
        <x:v>0.6753214755306189</x:v>
      </x:c>
      <x:c r="E9" s="90" t="n">
        <x:v>0.6753214755306193</x:v>
      </x:c>
      <x:c r="F9" s="90" t="n">
        <x:v>1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2:F2"/>
  </x:mergeCells>
  <x:conditionalFormatting sqref="B5:F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Equal-weight FDI by specificity level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8" t="str">
        <x:v>Lines show each arm's mean. Hollow dots show all three runs within each level.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95" t="str">
        <x:v>Level</x:v>
      </x:c>
      <x:c r="B38" s="96" t="str">
        <x:v>Fixed mean</x:v>
      </x:c>
      <x:c r="C38" s="96" t="str">
        <x:v>Fixed SD</x:v>
      </x:c>
      <x:c r="D38" s="96" t="str">
        <x:v>Adaptive mean</x:v>
      </x:c>
      <x:c r="E38" s="97" t="str">
        <x:v>Adaptive SD</x:v>
      </x:c>
      <x:c r="F38" s="1"/>
      <x:c r="G38" s="1"/>
      <x:c r="H38" s="1"/>
      <x:c r="I38" s="1"/>
      <x:c r="J38" s="1"/>
      <x:c r="K38" s="1"/>
      <x:c r="L38" s="1"/>
      <x:c r="M38" s="1"/>
    </x:row>
    <x:row r="39">
      <x:c r="A39" s="98" t="n">
        <x:v>1</x:v>
      </x:c>
      <x:c r="B39" s="17" t="n">
        <x:v>44.12846241547414</x:v>
      </x:c>
      <x:c r="C39" s="17" t="n">
        <x:v>4.828901318421653</x:v>
      </x:c>
      <x:c r="D39" s="17" t="n">
        <x:v>49.5748838263593</x:v>
      </x:c>
      <x:c r="E39" s="99" t="n">
        <x:v>5.721427598662783</x:v>
      </x:c>
      <x:c r="F39" s="1"/>
      <x:c r="G39" s="1"/>
      <x:c r="H39" s="1"/>
      <x:c r="I39" s="1"/>
      <x:c r="J39" s="1"/>
      <x:c r="K39" s="1"/>
      <x:c r="L39" s="1"/>
      <x:c r="M39" s="1"/>
    </x:row>
    <x:row r="40">
      <x:c r="A40" s="98" t="n">
        <x:v>2</x:v>
      </x:c>
      <x:c r="B40" s="17" t="n">
        <x:v>41.98867780446586</x:v>
      </x:c>
      <x:c r="C40" s="17" t="n">
        <x:v>15.652014000317976</x:v>
      </x:c>
      <x:c r="D40" s="17" t="n">
        <x:v>44.20211393670336</x:v>
      </x:c>
      <x:c r="E40" s="99" t="n">
        <x:v>5.006374887345766</x:v>
      </x:c>
      <x:c r="F40" s="1"/>
      <x:c r="G40" s="1"/>
      <x:c r="H40" s="1"/>
      <x:c r="I40" s="1"/>
      <x:c r="J40" s="1"/>
      <x:c r="K40" s="1"/>
      <x:c r="L40" s="1"/>
      <x:c r="M40" s="1"/>
    </x:row>
    <x:row r="41">
      <x:c r="A41" s="98" t="n">
        <x:v>3</x:v>
      </x:c>
      <x:c r="B41" s="17" t="n">
        <x:v>46.05115359551588</x:v>
      </x:c>
      <x:c r="C41" s="17" t="n">
        <x:v>8.898269273870204</x:v>
      </x:c>
      <x:c r="D41" s="17" t="n">
        <x:v>51.53526376343765</x:v>
      </x:c>
      <x:c r="E41" s="99" t="n">
        <x:v>9.975664240205264</x:v>
      </x:c>
      <x:c r="F41" s="1"/>
      <x:c r="G41" s="1"/>
      <x:c r="H41" s="1"/>
      <x:c r="I41" s="1"/>
      <x:c r="J41" s="1"/>
      <x:c r="K41" s="1"/>
      <x:c r="L41" s="1"/>
      <x:c r="M41" s="1"/>
    </x:row>
    <x:row r="42">
      <x:c r="A42" s="98" t="n">
        <x:v>4</x:v>
      </x:c>
      <x:c r="B42" s="17" t="n">
        <x:v>47.75472648878861</x:v>
      </x:c>
      <x:c r="C42" s="17" t="n">
        <x:v>5.538123559235163</x:v>
      </x:c>
      <x:c r="D42" s="17" t="n">
        <x:v>54.258162411724065</x:v>
      </x:c>
      <x:c r="E42" s="99" t="n">
        <x:v>4.654379294369524</x:v>
      </x:c>
      <x:c r="F42" s="1"/>
      <x:c r="G42" s="1"/>
      <x:c r="H42" s="1"/>
      <x:c r="I42" s="1"/>
      <x:c r="J42" s="1"/>
      <x:c r="K42" s="1"/>
      <x:c r="L42" s="1"/>
      <x:c r="M42" s="1"/>
    </x:row>
    <x:row r="43">
      <x:c r="A43" s="98" t="n">
        <x:v>5</x:v>
      </x:c>
      <x:c r="B43" s="17" t="n">
        <x:v>50.77217074077668</x:v>
      </x:c>
      <x:c r="C43" s="17" t="n">
        <x:v>6.498597436110262</x:v>
      </x:c>
      <x:c r="D43" s="17" t="n">
        <x:v>50.23429236709662</x:v>
      </x:c>
      <x:c r="E43" s="99" t="n">
        <x:v>2.3840453323759023</x:v>
      </x:c>
      <x:c r="F43" s="1"/>
      <x:c r="G43" s="1"/>
      <x:c r="H43" s="1"/>
      <x:c r="I43" s="1"/>
      <x:c r="J43" s="1"/>
      <x:c r="K43" s="1"/>
      <x:c r="L43" s="1"/>
      <x:c r="M43" s="1"/>
    </x:row>
    <x:row r="44">
      <x:c r="A44" s="98" t="n">
        <x:v>6</x:v>
      </x:c>
      <x:c r="B44" s="17" t="n">
        <x:v>50.0164198684372</x:v>
      </x:c>
      <x:c r="C44" s="17" t="n">
        <x:v>3.534594438513401</x:v>
      </x:c>
      <x:c r="D44" s="17" t="n">
        <x:v>54.65760223025287</x:v>
      </x:c>
      <x:c r="E44" s="99" t="n">
        <x:v>1.5936646628220312</x:v>
      </x:c>
      <x:c r="F44" s="1"/>
      <x:c r="G44" s="1"/>
      <x:c r="H44" s="1"/>
      <x:c r="I44" s="1"/>
      <x:c r="J44" s="1"/>
      <x:c r="K44" s="1"/>
      <x:c r="L44" s="1"/>
      <x:c r="M44" s="1"/>
    </x:row>
    <x:row r="45">
      <x:c r="A45" s="98" t="n">
        <x:v>7</x:v>
      </x:c>
      <x:c r="B45" s="17" t="n">
        <x:v>47.8926900657253</x:v>
      </x:c>
      <x:c r="C45" s="17" t="n">
        <x:v>4.46020584675247</x:v>
      </x:c>
      <x:c r="D45" s="17" t="n">
        <x:v>50.812518027121506</x:v>
      </x:c>
      <x:c r="E45" s="99" t="n">
        <x:v>1.91145784101898</x:v>
      </x:c>
      <x:c r="F45" s="1"/>
      <x:c r="G45" s="1"/>
      <x:c r="H45" s="1"/>
      <x:c r="I45" s="1"/>
      <x:c r="J45" s="1"/>
      <x:c r="K45" s="1"/>
      <x:c r="L45" s="1"/>
      <x:c r="M45" s="1"/>
    </x:row>
    <x:row r="46">
      <x:c r="A46" s="98" t="n">
        <x:v>8</x:v>
      </x:c>
      <x:c r="B46" s="17" t="n">
        <x:v>49.393671844339075</x:v>
      </x:c>
      <x:c r="C46" s="17" t="n">
        <x:v>4.977921685195361</x:v>
      </x:c>
      <x:c r="D46" s="17" t="n">
        <x:v>49.6887392389044</x:v>
      </x:c>
      <x:c r="E46" s="99" t="n">
        <x:v>3.460414095620366</x:v>
      </x:c>
      <x:c r="F46" s="1"/>
      <x:c r="G46" s="1"/>
      <x:c r="H46" s="1"/>
      <x:c r="I46" s="1"/>
      <x:c r="J46" s="1"/>
      <x:c r="K46" s="1"/>
      <x:c r="L46" s="1"/>
      <x:c r="M46" s="1"/>
    </x:row>
    <x:row r="47">
      <x:c r="A47" s="98" t="n">
        <x:v>9</x:v>
      </x:c>
      <x:c r="B47" s="17" t="n">
        <x:v>53.95880725676893</x:v>
      </x:c>
      <x:c r="C47" s="17" t="n">
        <x:v>1.5495803979942098</x:v>
      </x:c>
      <x:c r="D47" s="17" t="n">
        <x:v>51.12110741189948</x:v>
      </x:c>
      <x:c r="E47" s="99" t="n">
        <x:v>0.7323816309186747</x:v>
      </x:c>
      <x:c r="F47" s="1"/>
      <x:c r="G47" s="1"/>
      <x:c r="H47" s="1"/>
      <x:c r="I47" s="1"/>
      <x:c r="J47" s="1"/>
      <x:c r="K47" s="1"/>
      <x:c r="L47" s="1"/>
      <x:c r="M47" s="1"/>
    </x:row>
    <x:row r="48">
      <x:c r="A48" s="98" t="n">
        <x:v>10</x:v>
      </x:c>
      <x:c r="B48" s="17" t="n">
        <x:v>40.36940254234591</x:v>
      </x:c>
      <x:c r="C48" s="17" t="n">
        <x:v>10.666702002156189</x:v>
      </x:c>
      <x:c r="D48" s="17" t="n">
        <x:v>58.46923590189302</x:v>
      </x:c>
      <x:c r="E48" s="99" t="n">
        <x:v>1.1313461074581694</x:v>
      </x:c>
      <x:c r="F48" s="1"/>
      <x:c r="G48" s="1"/>
      <x:c r="H48" s="1"/>
      <x:c r="I48" s="1"/>
      <x:c r="J48" s="1"/>
      <x:c r="K48" s="1"/>
      <x:c r="L48" s="1"/>
      <x:c r="M48" s="1"/>
    </x:row>
    <x:row r="49">
      <x:c r="A49" s="98" t="n">
        <x:v>11</x:v>
      </x:c>
      <x:c r="B49" s="17" t="n">
        <x:v>52.175689639109436</x:v>
      </x:c>
      <x:c r="C49" s="17" t="n">
        <x:v>4.779243820910891</x:v>
      </x:c>
      <x:c r="D49" s="17" t="n">
        <x:v>58.896465724796776</x:v>
      </x:c>
      <x:c r="E49" s="99" t="n">
        <x:v>1.596791202241222</x:v>
      </x:c>
      <x:c r="F49" s="1"/>
      <x:c r="G49" s="1"/>
      <x:c r="H49" s="1"/>
      <x:c r="I49" s="1"/>
      <x:c r="J49" s="1"/>
      <x:c r="K49" s="1"/>
      <x:c r="L49" s="1"/>
      <x:c r="M49" s="1"/>
    </x:row>
    <x:row r="50">
      <x:c r="A50" s="100" t="n">
        <x:v>12</x:v>
      </x:c>
      <x:c r="B50" s="50" t="n">
        <x:v>43.0483440823225</x:v>
      </x:c>
      <x:c r="C50" s="50" t="n">
        <x:v>3.984901375023023</x:v>
      </x:c>
      <x:c r="D50" s="50" t="n">
        <x:v>58.99939881574142</x:v>
      </x:c>
      <x:c r="E50" s="101" t="n">
        <x:v>3.053088436798437</x:v>
      </x:c>
      <x:c r="F50" s="1"/>
      <x:c r="G50" s="1"/>
      <x:c r="H50" s="1"/>
      <x:c r="I50" s="1"/>
      <x:c r="J50" s="1"/>
      <x:c r="K50" s="1"/>
      <x:c r="L50" s="1"/>
      <x:c r="M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</x:sheetData>
  <x:mergeCells>
    <x:mergeCell ref="A2:M2"/>
    <x:mergeCell ref="A3:M3"/>
  </x:mergeCells>
  <x:pageMargins left="0.7" right="0.7" top="0.75" bottom="0.75" header="0.3" footer="0.3"/>
  <x:drawing xmlns:r="http://schemas.openxmlformats.org/officeDocument/2006/relationships" r:id="R2b213ccd908a47ca"/>
</x:worksheet>
</file>